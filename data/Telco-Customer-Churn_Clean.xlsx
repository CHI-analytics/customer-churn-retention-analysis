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lhe\Documents\DATA ANALYSIS LEARNING\PROJECT PORTFOLIO\DATA\Project 2 Customer Churn &amp; Retention Analysis\"/>
    </mc:Choice>
  </mc:AlternateContent>
  <xr:revisionPtr revIDLastSave="0" documentId="13_ncr:1_{3FDCC807-78B0-4658-9B38-FA11CC1DE7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lco-Customer-Churn" sheetId="1" r:id="rId1"/>
    <sheet name="Churn_KPIs" sheetId="2" r:id="rId2"/>
    <sheet name="Pivot_Churn_Contract" sheetId="3" r:id="rId3"/>
    <sheet name="Pivot_Churn_MonthlyCharges" sheetId="4" r:id="rId4"/>
    <sheet name="Pivot_Churn_Tenure" sheetId="5" r:id="rId5"/>
  </sheets>
  <calcPr calcId="191029"/>
  <pivotCaches>
    <pivotCache cacheId="5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B1" i="2"/>
</calcChain>
</file>

<file path=xl/sharedStrings.xml><?xml version="1.0" encoding="utf-8"?>
<sst xmlns="http://schemas.openxmlformats.org/spreadsheetml/2006/main" count="119786" uniqueCount="7090">
  <si>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</si>
  <si>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</si>
  <si>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</si>
  <si>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</si>
  <si>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</si>
  <si>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</si>
  <si>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</si>
  <si>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</si>
  <si>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</si>
  <si>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</si>
  <si>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</si>
  <si>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</si>
  <si>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</si>
  <si>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</si>
  <si>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</si>
  <si>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</si>
  <si>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</si>
  <si>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</si>
  <si>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</si>
  <si>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</si>
  <si>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</si>
  <si>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</si>
  <si>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</si>
  <si>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</si>
  <si>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</si>
  <si>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</si>
  <si>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</si>
  <si>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</si>
  <si>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</si>
  <si>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</si>
  <si>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</si>
  <si>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</si>
  <si>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</si>
  <si>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</si>
  <si>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</si>
  <si>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</si>
  <si>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</si>
  <si>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</si>
  <si>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</si>
  <si>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</si>
  <si>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</si>
  <si>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</si>
  <si>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</si>
  <si>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</si>
  <si>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</si>
  <si>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</si>
  <si>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</si>
  <si>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</si>
  <si>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</si>
  <si>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</si>
  <si>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</si>
  <si>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</si>
  <si>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</si>
  <si>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</si>
  <si>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</si>
  <si>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</si>
  <si>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</si>
  <si>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</si>
  <si>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</si>
  <si>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</si>
  <si>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</si>
  <si>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</si>
  <si>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</si>
  <si>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</si>
  <si>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</si>
  <si>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</si>
  <si>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</si>
  <si>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</si>
  <si>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</si>
  <si>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</si>
  <si>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</si>
  <si>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</si>
  <si>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</si>
  <si>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</si>
  <si>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</si>
  <si>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</si>
  <si>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</si>
  <si>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</si>
  <si>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</si>
  <si>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</si>
  <si>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</si>
  <si>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</si>
  <si>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</si>
  <si>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</si>
  <si>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</si>
  <si>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</si>
  <si>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</si>
  <si>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</si>
  <si>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</si>
  <si>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</si>
  <si>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</si>
  <si>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</si>
  <si>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</si>
  <si>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</si>
  <si>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</si>
  <si>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</si>
  <si>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</si>
  <si>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</si>
  <si>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</si>
  <si>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</si>
  <si>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</si>
  <si>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</si>
  <si>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</si>
  <si>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</si>
  <si>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</si>
  <si>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</si>
  <si>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</si>
  <si>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</si>
  <si>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</si>
  <si>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</si>
  <si>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</si>
  <si>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</si>
  <si>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</si>
  <si>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</si>
  <si>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</si>
  <si>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</si>
  <si>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</si>
  <si>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</si>
  <si>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</si>
  <si>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</si>
  <si>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</si>
  <si>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</si>
  <si>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</si>
  <si>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</si>
  <si>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</si>
  <si>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</si>
  <si>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</si>
  <si>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</si>
  <si>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</si>
  <si>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</si>
  <si>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</si>
  <si>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</si>
  <si>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</si>
  <si>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</si>
  <si>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</si>
  <si>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</si>
  <si>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</si>
  <si>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</si>
  <si>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</si>
  <si>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</si>
  <si>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</si>
  <si>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</si>
  <si>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</si>
  <si>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</si>
  <si>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</si>
  <si>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</si>
  <si>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</si>
  <si>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</si>
  <si>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</si>
  <si>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</si>
  <si>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</si>
  <si>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</si>
  <si>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</si>
  <si>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</si>
  <si>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</si>
  <si>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</si>
  <si>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</si>
  <si>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</si>
  <si>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</si>
  <si>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</si>
  <si>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</si>
  <si>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</si>
  <si>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</si>
  <si>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</si>
  <si>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</si>
  <si>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</si>
  <si>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</si>
  <si>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</si>
  <si>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</si>
  <si>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</si>
  <si>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</si>
  <si>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</si>
  <si>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</si>
  <si>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</si>
  <si>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</si>
  <si>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</si>
  <si>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</si>
  <si>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</si>
  <si>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</si>
  <si>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</si>
  <si>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</si>
  <si>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</si>
  <si>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</si>
  <si>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</si>
  <si>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</si>
  <si>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</si>
  <si>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</si>
  <si>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</si>
  <si>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</si>
  <si>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</si>
  <si>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</si>
  <si>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</si>
  <si>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</si>
  <si>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</si>
  <si>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</si>
  <si>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</si>
  <si>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</si>
  <si>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</si>
  <si>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</si>
  <si>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</si>
  <si>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</si>
  <si>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</si>
  <si>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</si>
  <si>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</si>
  <si>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</si>
  <si>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</si>
  <si>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</si>
  <si>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</si>
  <si>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</si>
  <si>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</si>
  <si>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</si>
  <si>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</si>
  <si>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</si>
  <si>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</si>
  <si>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</si>
  <si>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</si>
  <si>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</si>
  <si>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</si>
  <si>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</si>
  <si>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</si>
  <si>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</si>
  <si>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</si>
  <si>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</si>
  <si>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</si>
  <si>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</si>
  <si>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</si>
  <si>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</si>
  <si>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</si>
  <si>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</si>
  <si>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</si>
  <si>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</si>
  <si>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</si>
  <si>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</si>
  <si>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</si>
  <si>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</si>
  <si>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</si>
  <si>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</si>
  <si>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</si>
  <si>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</si>
  <si>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</si>
  <si>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</si>
  <si>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</si>
  <si>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</si>
  <si>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</si>
  <si>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</si>
  <si>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</si>
  <si>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</si>
  <si>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</si>
  <si>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</si>
  <si>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</si>
  <si>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</si>
  <si>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</si>
  <si>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</si>
  <si>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</si>
  <si>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</si>
  <si>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</si>
  <si>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</si>
  <si>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</si>
  <si>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</si>
  <si>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</si>
  <si>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</si>
  <si>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</si>
  <si>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</si>
  <si>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</si>
  <si>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</si>
  <si>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</si>
  <si>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</si>
  <si>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</si>
  <si>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</si>
  <si>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</si>
  <si>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</si>
  <si>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</si>
  <si>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</si>
  <si>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</si>
  <si>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</si>
  <si>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</si>
  <si>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</si>
  <si>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</si>
  <si>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</si>
  <si>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</si>
  <si>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</si>
  <si>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</si>
  <si>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</si>
  <si>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</si>
  <si>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</si>
  <si>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</si>
  <si>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</si>
  <si>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</si>
  <si>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</si>
  <si>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</si>
  <si>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</si>
  <si>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</si>
  <si>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</si>
  <si>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</si>
  <si>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</si>
  <si>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</si>
  <si>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</si>
  <si>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</si>
  <si>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</si>
  <si>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</si>
  <si>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</si>
  <si>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</si>
  <si>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</si>
  <si>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</si>
  <si>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</si>
  <si>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</si>
  <si>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</si>
  <si>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</si>
  <si>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</si>
  <si>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</si>
  <si>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</si>
  <si>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</si>
  <si>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</si>
  <si>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</si>
  <si>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</si>
  <si>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</si>
  <si>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</si>
  <si>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</si>
  <si>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</si>
  <si>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</si>
  <si>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</si>
  <si>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</si>
  <si>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</si>
  <si>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</si>
  <si>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</si>
  <si>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</si>
  <si>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</si>
  <si>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</si>
  <si>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</si>
  <si>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</si>
  <si>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</si>
  <si>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</si>
  <si>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</si>
  <si>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</si>
  <si>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</si>
  <si>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</si>
  <si>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</si>
  <si>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</si>
  <si>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</si>
  <si>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</si>
  <si>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</si>
  <si>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</si>
  <si>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</si>
  <si>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</si>
  <si>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</si>
  <si>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</si>
  <si>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</si>
  <si>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</si>
  <si>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</si>
  <si>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</si>
  <si>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</si>
  <si>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</si>
  <si>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</si>
  <si>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</si>
  <si>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</si>
  <si>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</si>
  <si>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</si>
  <si>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</si>
  <si>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</si>
  <si>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</si>
  <si>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</si>
  <si>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</si>
  <si>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</si>
  <si>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</si>
  <si>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</si>
  <si>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</si>
  <si>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</si>
  <si>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</si>
  <si>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</si>
  <si>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</si>
  <si>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</si>
  <si>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</si>
  <si>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</si>
  <si>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</si>
  <si>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</si>
  <si>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</si>
  <si>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</si>
  <si>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</si>
  <si>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</si>
  <si>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</si>
  <si>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</si>
  <si>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</si>
  <si>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</si>
  <si>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</si>
  <si>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</si>
  <si>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</si>
  <si>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</si>
  <si>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</si>
  <si>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</si>
  <si>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</si>
  <si>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</si>
  <si>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</si>
  <si>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</si>
  <si>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</si>
  <si>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</si>
  <si>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</si>
  <si>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</si>
  <si>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</si>
  <si>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</si>
  <si>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</si>
  <si>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</si>
  <si>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</si>
  <si>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</si>
  <si>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</si>
  <si>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</si>
  <si>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</si>
  <si>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</si>
  <si>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</si>
  <si>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</si>
  <si>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</si>
  <si>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</si>
  <si>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</si>
  <si>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</si>
  <si>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</si>
  <si>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</si>
  <si>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</si>
  <si>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</si>
  <si>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</si>
  <si>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</si>
  <si>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</si>
  <si>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</si>
  <si>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</si>
  <si>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</si>
  <si>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</si>
  <si>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</si>
  <si>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</si>
  <si>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</si>
  <si>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</si>
  <si>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</si>
  <si>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</si>
  <si>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</si>
  <si>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</si>
  <si>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</si>
  <si>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</si>
  <si>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</si>
  <si>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</si>
  <si>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</si>
  <si>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</si>
  <si>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</si>
  <si>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</si>
  <si>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</si>
  <si>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</si>
  <si>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</si>
  <si>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</si>
  <si>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</si>
  <si>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</si>
  <si>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</si>
  <si>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</si>
  <si>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</si>
  <si>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</si>
  <si>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</si>
  <si>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</si>
  <si>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</si>
  <si>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</si>
  <si>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</si>
  <si>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</si>
  <si>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</si>
  <si>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</si>
  <si>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</si>
  <si>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</si>
  <si>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</si>
  <si>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</si>
  <si>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</si>
  <si>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</si>
  <si>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</si>
  <si>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</si>
  <si>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</si>
  <si>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</si>
  <si>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</si>
  <si>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</si>
  <si>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</si>
  <si>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</si>
  <si>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</si>
  <si>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</si>
  <si>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</si>
  <si>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</si>
  <si>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</si>
  <si>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</si>
  <si>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</si>
  <si>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</si>
  <si>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</si>
  <si>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</si>
  <si>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</si>
  <si>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</si>
  <si>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</si>
  <si>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</si>
  <si>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</si>
  <si>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</si>
  <si>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</si>
  <si>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</si>
  <si>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</si>
  <si>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</si>
  <si>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</si>
  <si>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</si>
  <si>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</si>
  <si>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</si>
  <si>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</si>
  <si>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</si>
  <si>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</si>
  <si>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</si>
  <si>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</si>
  <si>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</si>
  <si>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</si>
  <si>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</si>
  <si>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</si>
  <si>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</si>
  <si>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</si>
  <si>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</si>
  <si>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</si>
  <si>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</si>
  <si>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</si>
  <si>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</si>
  <si>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</si>
  <si>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</si>
  <si>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</si>
  <si>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</si>
  <si>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</si>
  <si>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</si>
  <si>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</si>
  <si>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</si>
  <si>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</si>
  <si>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</si>
  <si>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</si>
  <si>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</si>
  <si>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</si>
  <si>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</si>
  <si>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</si>
  <si>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</si>
  <si>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</si>
  <si>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</si>
  <si>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</si>
  <si>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</si>
  <si>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</si>
  <si>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</si>
  <si>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</si>
  <si>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</si>
  <si>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</si>
  <si>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</si>
  <si>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</si>
  <si>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</si>
  <si>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</si>
  <si>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</si>
  <si>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</si>
  <si>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</si>
  <si>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</si>
  <si>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</si>
  <si>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</si>
  <si>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</si>
  <si>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</si>
  <si>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</si>
  <si>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</si>
  <si>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</si>
  <si>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</si>
  <si>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</si>
  <si>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</si>
  <si>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</si>
  <si>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</si>
  <si>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</si>
  <si>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</si>
  <si>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</si>
  <si>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</si>
  <si>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</si>
  <si>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</si>
  <si>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</si>
  <si>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</si>
  <si>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</si>
  <si>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</si>
  <si>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</si>
  <si>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</si>
  <si>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</si>
  <si>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</si>
  <si>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</si>
  <si>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</si>
  <si>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</si>
  <si>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</si>
  <si>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</si>
  <si>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</si>
  <si>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</si>
  <si>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</si>
  <si>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</si>
  <si>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</si>
  <si>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</si>
  <si>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</si>
  <si>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</si>
  <si>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</si>
  <si>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</si>
  <si>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</si>
  <si>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</si>
  <si>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</si>
  <si>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</si>
  <si>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</si>
  <si>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</si>
  <si>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</si>
  <si>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</si>
  <si>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</si>
  <si>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</si>
  <si>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</si>
  <si>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</si>
  <si>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</si>
  <si>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</si>
  <si>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</si>
  <si>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</si>
  <si>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</si>
  <si>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</si>
  <si>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</si>
  <si>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</si>
  <si>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</si>
  <si>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</si>
  <si>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</si>
  <si>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</si>
  <si>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</si>
  <si>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</si>
  <si>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</si>
  <si>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</si>
  <si>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</si>
  <si>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</si>
  <si>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</si>
  <si>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</si>
  <si>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</si>
  <si>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</si>
  <si>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</si>
  <si>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</si>
  <si>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</si>
  <si>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</si>
  <si>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</si>
  <si>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</si>
  <si>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</si>
  <si>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</si>
  <si>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</si>
  <si>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</si>
  <si>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</si>
  <si>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</si>
  <si>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</si>
  <si>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</si>
  <si>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</si>
  <si>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</si>
  <si>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</si>
  <si>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</si>
  <si>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</si>
  <si>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</si>
  <si>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</si>
  <si>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</si>
  <si>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</si>
  <si>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</si>
  <si>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</si>
  <si>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</si>
  <si>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</si>
  <si>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</si>
  <si>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</si>
  <si>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</si>
  <si>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</si>
  <si>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</si>
  <si>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</si>
  <si>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</si>
  <si>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</si>
  <si>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</si>
  <si>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</si>
  <si>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</si>
  <si>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</si>
  <si>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</si>
  <si>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</si>
  <si>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</si>
  <si>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</si>
  <si>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</si>
  <si>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</si>
  <si>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</si>
  <si>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</si>
  <si>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</si>
  <si>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</si>
  <si>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</si>
  <si>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</si>
  <si>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</si>
  <si>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</si>
  <si>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</si>
  <si>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</si>
  <si>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</si>
  <si>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</si>
  <si>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</si>
  <si>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</si>
  <si>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</si>
  <si>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</si>
  <si>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</si>
  <si>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</si>
  <si>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</si>
  <si>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</si>
  <si>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</si>
  <si>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</si>
  <si>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</si>
  <si>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</si>
  <si>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</si>
  <si>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</si>
  <si>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</si>
  <si>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</si>
  <si>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</si>
  <si>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</si>
  <si>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</si>
  <si>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</si>
  <si>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</si>
  <si>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</si>
  <si>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</si>
  <si>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</si>
  <si>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</si>
  <si>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</si>
  <si>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</si>
  <si>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</si>
  <si>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</si>
  <si>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</si>
  <si>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</si>
  <si>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</si>
  <si>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</si>
  <si>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</si>
  <si>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</si>
  <si>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</si>
  <si>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</si>
  <si>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</si>
  <si>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</si>
  <si>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</si>
  <si>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</si>
  <si>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</si>
  <si>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</si>
  <si>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</si>
  <si>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</si>
  <si>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</si>
  <si>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</si>
  <si>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</si>
  <si>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</si>
  <si>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</si>
  <si>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</si>
  <si>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</si>
  <si>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</si>
  <si>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</si>
  <si>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</si>
  <si>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</si>
  <si>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</si>
  <si>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</si>
  <si>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</si>
  <si>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</si>
  <si>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</si>
  <si>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</si>
  <si>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</si>
  <si>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</si>
  <si>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</si>
  <si>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</si>
  <si>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</si>
  <si>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</si>
  <si>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</si>
  <si>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</si>
  <si>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</si>
  <si>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</si>
  <si>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</si>
  <si>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</si>
  <si>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</si>
  <si>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</si>
  <si>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</si>
  <si>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</si>
  <si>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</si>
  <si>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</si>
  <si>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</si>
  <si>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</si>
  <si>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</si>
  <si>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</si>
  <si>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</si>
  <si>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</si>
  <si>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</si>
  <si>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</si>
  <si>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</si>
  <si>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</si>
  <si>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</si>
  <si>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</si>
  <si>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</si>
  <si>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</si>
  <si>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</si>
  <si>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</si>
  <si>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</si>
  <si>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</si>
  <si>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</si>
  <si>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</si>
  <si>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</si>
  <si>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</si>
  <si>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</si>
  <si>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</si>
  <si>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</si>
  <si>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</si>
  <si>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</si>
  <si>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</si>
  <si>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</si>
  <si>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</si>
  <si>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</si>
  <si>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</si>
  <si>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</si>
  <si>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</si>
  <si>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</si>
  <si>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</si>
  <si>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</si>
  <si>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</si>
  <si>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</si>
  <si>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</si>
  <si>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</si>
  <si>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</si>
  <si>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</si>
  <si>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</si>
  <si>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</si>
  <si>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</si>
  <si>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</si>
  <si>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</si>
  <si>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</si>
  <si>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</si>
  <si>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</si>
  <si>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</si>
  <si>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</si>
  <si>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</si>
  <si>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</si>
  <si>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</si>
  <si>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</si>
  <si>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</si>
  <si>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</si>
  <si>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</si>
  <si>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</si>
  <si>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</si>
  <si>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</si>
  <si>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</si>
  <si>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</si>
  <si>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</si>
  <si>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</si>
  <si>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</si>
  <si>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</si>
  <si>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</si>
  <si>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</si>
  <si>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</si>
  <si>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</si>
  <si>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</si>
  <si>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</si>
  <si>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</si>
  <si>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</si>
  <si>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</si>
  <si>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</si>
  <si>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</si>
  <si>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</si>
  <si>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</si>
  <si>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</si>
  <si>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</si>
  <si>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</si>
  <si>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</si>
  <si>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</si>
  <si>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</si>
  <si>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</si>
  <si>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</si>
  <si>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</si>
  <si>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</si>
  <si>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</si>
  <si>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</si>
  <si>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</si>
  <si>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</si>
  <si>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</si>
  <si>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</si>
  <si>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</si>
  <si>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</si>
  <si>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</si>
  <si>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</si>
  <si>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</si>
  <si>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</si>
  <si>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</si>
  <si>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</si>
  <si>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</si>
  <si>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</si>
  <si>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</si>
  <si>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</si>
  <si>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</si>
  <si>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</si>
  <si>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</si>
  <si>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</si>
  <si>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</si>
  <si>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</si>
  <si>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</si>
  <si>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</si>
  <si>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</si>
  <si>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</si>
  <si>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</si>
  <si>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</si>
  <si>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</si>
  <si>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</si>
  <si>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</si>
  <si>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</si>
  <si>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</si>
  <si>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</si>
  <si>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</si>
  <si>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</si>
  <si>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</si>
  <si>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</si>
  <si>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</si>
  <si>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</si>
  <si>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</si>
  <si>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</si>
  <si>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</si>
  <si>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</si>
  <si>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</si>
  <si>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</si>
  <si>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</si>
  <si>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</si>
  <si>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</si>
  <si>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</si>
  <si>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</si>
  <si>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</si>
  <si>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</si>
  <si>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</si>
  <si>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</si>
  <si>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</si>
  <si>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</si>
  <si>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</si>
  <si>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</si>
  <si>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</si>
  <si>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</si>
  <si>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</si>
  <si>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</si>
  <si>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</si>
  <si>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</si>
  <si>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</si>
  <si>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</si>
  <si>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</si>
  <si>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</si>
  <si>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</si>
  <si>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</si>
  <si>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</si>
  <si>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</si>
  <si>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</si>
  <si>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</si>
  <si>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</si>
  <si>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</si>
  <si>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</si>
  <si>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</si>
  <si>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</si>
  <si>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</si>
  <si>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</si>
  <si>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</si>
  <si>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</si>
  <si>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</si>
  <si>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</si>
  <si>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</si>
  <si>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</si>
  <si>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</si>
  <si>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</si>
  <si>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</si>
  <si>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</si>
  <si>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</si>
  <si>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</si>
  <si>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</si>
  <si>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</si>
  <si>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</si>
  <si>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</si>
  <si>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</si>
  <si>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</si>
  <si>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</si>
  <si>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</si>
  <si>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</si>
  <si>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</si>
  <si>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</si>
  <si>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</si>
  <si>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</si>
  <si>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</si>
  <si>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</si>
  <si>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</si>
  <si>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</si>
  <si>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</si>
  <si>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</si>
  <si>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</si>
  <si>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</si>
  <si>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</si>
  <si>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</si>
  <si>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</si>
  <si>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</si>
  <si>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</si>
  <si>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</si>
  <si>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</si>
  <si>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</si>
  <si>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</si>
  <si>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</si>
  <si>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</si>
  <si>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</si>
  <si>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</si>
  <si>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</si>
  <si>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</si>
  <si>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</si>
  <si>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</si>
  <si>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</si>
  <si>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</si>
  <si>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</si>
  <si>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</si>
  <si>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</si>
  <si>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</si>
  <si>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</si>
  <si>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</si>
  <si>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</si>
  <si>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</si>
  <si>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</si>
  <si>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</si>
  <si>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</si>
  <si>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</si>
  <si>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</si>
  <si>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</si>
  <si>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</si>
  <si>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</si>
  <si>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</si>
  <si>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</si>
  <si>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</si>
  <si>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</si>
  <si>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</si>
  <si>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</si>
  <si>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</si>
  <si>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</si>
  <si>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</si>
  <si>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</si>
  <si>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</si>
  <si>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</si>
  <si>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</si>
  <si>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</si>
  <si>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</si>
  <si>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</si>
  <si>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</si>
  <si>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</si>
  <si>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</si>
  <si>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</si>
  <si>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</si>
  <si>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</si>
  <si>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</si>
  <si>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</si>
  <si>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</si>
  <si>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</si>
  <si>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</si>
  <si>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</si>
  <si>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</si>
  <si>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</si>
  <si>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</si>
  <si>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</si>
  <si>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</si>
  <si>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</si>
  <si>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</si>
  <si>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</si>
  <si>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</si>
  <si>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</si>
  <si>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</si>
  <si>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</si>
  <si>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</si>
  <si>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</si>
  <si>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</si>
  <si>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</si>
  <si>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</si>
  <si>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</si>
  <si>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</si>
  <si>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</si>
  <si>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</si>
  <si>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</si>
  <si>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</si>
  <si>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</si>
  <si>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</si>
  <si>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</si>
  <si>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</si>
  <si>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</si>
  <si>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</si>
  <si>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</si>
  <si>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</si>
  <si>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</si>
  <si>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</si>
  <si>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</si>
  <si>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</si>
  <si>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</si>
  <si>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</si>
  <si>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</si>
  <si>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</si>
  <si>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</si>
  <si>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</si>
  <si>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</si>
  <si>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</si>
  <si>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</si>
  <si>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</si>
  <si>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</si>
  <si>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</si>
  <si>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</si>
  <si>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</si>
  <si>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</si>
  <si>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</si>
  <si>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</si>
  <si>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</si>
  <si>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</si>
  <si>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</si>
  <si>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</si>
  <si>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</si>
  <si>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</si>
  <si>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</si>
  <si>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</si>
  <si>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</si>
  <si>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</si>
  <si>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</si>
  <si>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</si>
  <si>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</si>
  <si>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</si>
  <si>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</si>
  <si>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</si>
  <si>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</si>
  <si>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</si>
  <si>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</si>
  <si>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</si>
  <si>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</si>
  <si>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</si>
  <si>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</si>
  <si>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</si>
  <si>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</si>
  <si>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</si>
  <si>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</si>
  <si>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</si>
  <si>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</si>
  <si>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</si>
  <si>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</si>
  <si>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</si>
  <si>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</si>
  <si>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</si>
  <si>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</si>
  <si>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</si>
  <si>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</si>
  <si>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</si>
  <si>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</si>
  <si>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</si>
  <si>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</si>
  <si>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</si>
  <si>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</si>
  <si>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</si>
  <si>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</si>
  <si>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</si>
  <si>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</si>
  <si>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</si>
  <si>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</si>
  <si>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</si>
  <si>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</si>
  <si>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</si>
  <si>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</si>
  <si>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</si>
  <si>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</si>
  <si>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</si>
  <si>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</si>
  <si>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</si>
  <si>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</si>
  <si>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</si>
  <si>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</si>
  <si>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</si>
  <si>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</si>
  <si>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</si>
  <si>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</si>
  <si>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</si>
  <si>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</si>
  <si>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</si>
  <si>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</si>
  <si>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</si>
  <si>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</si>
  <si>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</si>
  <si>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</si>
  <si>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</si>
  <si>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</si>
  <si>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</si>
  <si>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</si>
  <si>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</si>
  <si>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</si>
  <si>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</si>
  <si>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</si>
  <si>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</si>
  <si>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</si>
  <si>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</si>
  <si>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</si>
  <si>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</si>
  <si>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</si>
  <si>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</si>
  <si>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</si>
  <si>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</si>
  <si>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</si>
  <si>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</si>
  <si>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</si>
  <si>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</si>
  <si>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</si>
  <si>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</si>
  <si>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</si>
  <si>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</si>
  <si>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</si>
  <si>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</si>
  <si>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</si>
  <si>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</si>
  <si>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</si>
  <si>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</si>
  <si>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</si>
  <si>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</si>
  <si>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</si>
  <si>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</si>
  <si>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</si>
  <si>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</si>
  <si>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</si>
  <si>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</si>
  <si>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</si>
  <si>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</si>
  <si>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</si>
  <si>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</si>
  <si>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</si>
  <si>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</si>
  <si>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</si>
  <si>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</si>
  <si>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</si>
  <si>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</si>
  <si>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</si>
  <si>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</si>
  <si>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</si>
  <si>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</si>
  <si>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</si>
  <si>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</si>
  <si>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</si>
  <si>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</si>
  <si>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</si>
  <si>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</si>
  <si>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</si>
  <si>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</si>
  <si>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</si>
  <si>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</si>
  <si>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</si>
  <si>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</si>
  <si>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</si>
  <si>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</si>
  <si>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</si>
  <si>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</si>
  <si>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</si>
  <si>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</si>
  <si>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</si>
  <si>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</si>
  <si>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</si>
  <si>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</si>
  <si>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</si>
  <si>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</si>
  <si>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</si>
  <si>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</si>
  <si>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</si>
  <si>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</si>
  <si>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</si>
  <si>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</si>
  <si>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</si>
  <si>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</si>
  <si>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</si>
  <si>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</si>
  <si>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</si>
  <si>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</si>
  <si>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</si>
  <si>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</si>
  <si>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</si>
  <si>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</si>
  <si>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</si>
  <si>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</si>
  <si>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</si>
  <si>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</si>
  <si>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</si>
  <si>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</si>
  <si>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</si>
  <si>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</si>
  <si>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</si>
  <si>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</si>
  <si>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</si>
  <si>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</si>
  <si>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</si>
  <si>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</si>
  <si>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</si>
  <si>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</si>
  <si>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</si>
  <si>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</si>
  <si>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</si>
  <si>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</si>
  <si>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</si>
  <si>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</si>
  <si>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</si>
  <si>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</si>
  <si>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</si>
  <si>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</si>
  <si>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</si>
  <si>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</si>
  <si>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</si>
  <si>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</si>
  <si>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</si>
  <si>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</si>
  <si>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</si>
  <si>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</si>
  <si>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</si>
  <si>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</si>
  <si>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</si>
  <si>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</si>
  <si>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</si>
  <si>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</si>
  <si>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</si>
  <si>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</si>
  <si>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</si>
  <si>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</si>
  <si>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</si>
  <si>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</si>
  <si>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</si>
  <si>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</si>
  <si>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</si>
  <si>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</si>
  <si>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</si>
  <si>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</si>
  <si>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</si>
  <si>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</si>
  <si>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</si>
  <si>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</si>
  <si>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</si>
  <si>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</si>
  <si>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</si>
  <si>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</si>
  <si>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</si>
  <si>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</si>
  <si>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</si>
  <si>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</si>
  <si>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</si>
  <si>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</si>
  <si>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</si>
  <si>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</si>
  <si>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</si>
  <si>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</si>
  <si>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</si>
  <si>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</si>
  <si>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</si>
  <si>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</si>
  <si>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</si>
  <si>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</si>
  <si>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</si>
  <si>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</si>
  <si>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</si>
  <si>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</si>
  <si>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</si>
  <si>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</si>
  <si>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</si>
  <si>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</si>
  <si>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</si>
  <si>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</si>
  <si>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</si>
  <si>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</si>
  <si>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</si>
  <si>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</si>
  <si>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</si>
  <si>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</si>
  <si>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</si>
  <si>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</si>
  <si>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</si>
  <si>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</si>
  <si>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</si>
  <si>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</si>
  <si>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</si>
  <si>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</si>
  <si>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</si>
  <si>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</si>
  <si>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</si>
  <si>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</si>
  <si>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</si>
  <si>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</si>
  <si>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</si>
  <si>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</si>
  <si>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</si>
  <si>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</si>
  <si>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</si>
  <si>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</si>
  <si>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</si>
  <si>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</si>
  <si>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</si>
  <si>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</si>
  <si>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</si>
  <si>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</si>
  <si>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</si>
  <si>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</si>
  <si>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</si>
  <si>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</si>
  <si>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</si>
  <si>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</si>
  <si>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</si>
  <si>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</si>
  <si>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</si>
  <si>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</si>
  <si>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</si>
  <si>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</si>
  <si>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</si>
  <si>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</si>
  <si>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</si>
  <si>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</si>
  <si>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</si>
  <si>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</si>
  <si>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</si>
  <si>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</si>
  <si>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</si>
  <si>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</si>
  <si>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</si>
  <si>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</si>
  <si>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</si>
  <si>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</si>
  <si>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</si>
  <si>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</si>
  <si>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</si>
  <si>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</si>
  <si>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</si>
  <si>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</si>
  <si>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</si>
  <si>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</si>
  <si>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</si>
  <si>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</si>
  <si>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</si>
  <si>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</si>
  <si>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</si>
  <si>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</si>
  <si>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</si>
  <si>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</si>
  <si>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</si>
  <si>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</si>
  <si>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</si>
  <si>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</si>
  <si>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</si>
  <si>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</si>
  <si>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</si>
  <si>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</si>
  <si>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</si>
  <si>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</si>
  <si>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</si>
  <si>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</si>
  <si>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</si>
  <si>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</si>
  <si>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</si>
  <si>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</si>
  <si>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</si>
  <si>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</si>
  <si>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</si>
  <si>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</si>
  <si>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</si>
  <si>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</si>
  <si>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</si>
  <si>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</si>
  <si>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</si>
  <si>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</si>
  <si>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</si>
  <si>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</si>
  <si>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</si>
  <si>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</si>
  <si>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</si>
  <si>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</si>
  <si>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</si>
  <si>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</si>
  <si>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</si>
  <si>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</si>
  <si>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</si>
  <si>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</si>
  <si>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</si>
  <si>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</si>
  <si>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</si>
  <si>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</si>
  <si>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</si>
  <si>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</si>
  <si>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</si>
  <si>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</si>
  <si>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</si>
  <si>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</si>
  <si>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</si>
  <si>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</si>
  <si>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</si>
  <si>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</si>
  <si>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</si>
  <si>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</si>
  <si>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</si>
  <si>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</si>
  <si>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</si>
  <si>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</si>
  <si>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</si>
  <si>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</si>
  <si>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</si>
  <si>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</si>
  <si>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</si>
  <si>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</si>
  <si>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</si>
  <si>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</si>
  <si>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</si>
  <si>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</si>
  <si>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</si>
  <si>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</si>
  <si>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</si>
  <si>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</si>
  <si>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</si>
  <si>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</si>
  <si>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</si>
  <si>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</si>
  <si>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</si>
  <si>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</si>
  <si>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</si>
  <si>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</si>
  <si>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</si>
  <si>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</si>
  <si>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</si>
  <si>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</si>
  <si>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</si>
  <si>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</si>
  <si>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</si>
  <si>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</si>
  <si>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</si>
  <si>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</si>
  <si>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</si>
  <si>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</si>
  <si>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</si>
  <si>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</si>
  <si>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</si>
  <si>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</si>
  <si>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</si>
  <si>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</si>
  <si>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</si>
  <si>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</si>
  <si>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</si>
  <si>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</si>
  <si>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</si>
  <si>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</si>
  <si>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</si>
  <si>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</si>
  <si>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</si>
  <si>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</si>
  <si>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</si>
  <si>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</si>
  <si>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</si>
  <si>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</si>
  <si>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</si>
  <si>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</si>
  <si>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</si>
  <si>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</si>
  <si>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</si>
  <si>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</si>
  <si>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</si>
  <si>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</si>
  <si>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</si>
  <si>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</si>
  <si>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</si>
  <si>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</si>
  <si>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</si>
  <si>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</si>
  <si>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</si>
  <si>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</si>
  <si>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</si>
  <si>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</si>
  <si>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</si>
  <si>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</si>
  <si>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</si>
  <si>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</si>
  <si>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</si>
  <si>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</si>
  <si>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</si>
  <si>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</si>
  <si>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</si>
  <si>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</si>
  <si>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</si>
  <si>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</si>
  <si>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</si>
  <si>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</si>
  <si>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</si>
  <si>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</si>
  <si>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</si>
  <si>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</si>
  <si>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</si>
  <si>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</si>
  <si>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</si>
  <si>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</si>
  <si>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</si>
  <si>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</si>
  <si>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</si>
  <si>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</si>
  <si>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</si>
  <si>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</si>
  <si>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</si>
  <si>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</si>
  <si>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</si>
  <si>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</si>
  <si>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</si>
  <si>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</si>
  <si>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</si>
  <si>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</si>
  <si>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</si>
  <si>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</si>
  <si>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</si>
  <si>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</si>
  <si>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</si>
  <si>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</si>
  <si>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</si>
  <si>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</si>
  <si>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</si>
  <si>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</si>
  <si>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</si>
  <si>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</si>
  <si>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</si>
  <si>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</si>
  <si>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</si>
  <si>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</si>
  <si>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</si>
  <si>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</si>
  <si>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</si>
  <si>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</si>
  <si>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</si>
  <si>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</si>
  <si>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</si>
  <si>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</si>
  <si>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</si>
  <si>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</si>
  <si>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</si>
  <si>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</si>
  <si>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</si>
  <si>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</si>
  <si>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</si>
  <si>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</si>
  <si>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</si>
  <si>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</si>
  <si>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</si>
  <si>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</si>
  <si>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</si>
  <si>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</si>
  <si>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</si>
  <si>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</si>
  <si>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</si>
  <si>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</si>
  <si>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</si>
  <si>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</si>
  <si>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</si>
  <si>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</si>
  <si>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</si>
  <si>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</si>
  <si>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</si>
  <si>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</si>
  <si>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</si>
  <si>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</si>
  <si>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</si>
  <si>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</si>
  <si>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</si>
  <si>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</si>
  <si>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</si>
  <si>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</si>
  <si>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</si>
  <si>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</si>
  <si>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</si>
  <si>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</si>
  <si>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</si>
  <si>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</si>
  <si>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</si>
  <si>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</si>
  <si>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</si>
  <si>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</si>
  <si>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</si>
  <si>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</si>
  <si>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</si>
  <si>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</si>
  <si>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</si>
  <si>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</si>
  <si>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</si>
  <si>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</si>
  <si>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</si>
  <si>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</si>
  <si>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</si>
  <si>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</si>
  <si>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</si>
  <si>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</si>
  <si>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</si>
  <si>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</si>
  <si>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</si>
  <si>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</si>
  <si>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</si>
  <si>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</si>
  <si>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</si>
  <si>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</si>
  <si>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</si>
  <si>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</si>
  <si>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</si>
  <si>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</si>
  <si>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</si>
  <si>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</si>
  <si>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</si>
  <si>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</si>
  <si>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</si>
  <si>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</si>
  <si>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</si>
  <si>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</si>
  <si>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</si>
  <si>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</si>
  <si>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</si>
  <si>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</si>
  <si>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</si>
  <si>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</si>
  <si>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</si>
  <si>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</si>
  <si>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</si>
  <si>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</si>
  <si>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</si>
  <si>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</si>
  <si>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</si>
  <si>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</si>
  <si>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</si>
  <si>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</si>
  <si>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</si>
  <si>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</si>
  <si>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</si>
  <si>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</si>
  <si>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</si>
  <si>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</si>
  <si>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</si>
  <si>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</si>
  <si>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</si>
  <si>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</si>
  <si>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</si>
  <si>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</si>
  <si>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</si>
  <si>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</si>
  <si>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</si>
  <si>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</si>
  <si>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</si>
  <si>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</si>
  <si>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</si>
  <si>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</si>
  <si>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</si>
  <si>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</si>
  <si>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</si>
  <si>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</si>
  <si>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</si>
  <si>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</si>
  <si>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</si>
  <si>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</si>
  <si>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</si>
  <si>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</si>
  <si>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</si>
  <si>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</si>
  <si>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</si>
  <si>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</si>
  <si>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</si>
  <si>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</si>
  <si>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</si>
  <si>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</si>
  <si>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</si>
  <si>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</si>
  <si>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</si>
  <si>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</si>
  <si>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</si>
  <si>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</si>
  <si>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</si>
  <si>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</si>
  <si>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</si>
  <si>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</si>
  <si>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</si>
  <si>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</si>
  <si>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</si>
  <si>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</si>
  <si>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</si>
  <si>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</si>
  <si>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</si>
  <si>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</si>
  <si>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</si>
  <si>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</si>
  <si>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</si>
  <si>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</si>
  <si>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</si>
  <si>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</si>
  <si>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</si>
  <si>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</si>
  <si>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</si>
  <si>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</si>
  <si>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</si>
  <si>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</si>
  <si>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</si>
  <si>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</si>
  <si>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</si>
  <si>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</si>
  <si>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</si>
  <si>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</si>
  <si>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</si>
  <si>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</si>
  <si>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</si>
  <si>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</si>
  <si>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</si>
  <si>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</si>
  <si>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</si>
  <si>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</si>
  <si>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</si>
  <si>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</si>
  <si>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</si>
  <si>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</si>
  <si>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</si>
  <si>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</si>
  <si>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</si>
  <si>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</si>
  <si>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</si>
  <si>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</si>
  <si>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</si>
  <si>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</si>
  <si>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</si>
  <si>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</si>
  <si>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</si>
  <si>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</si>
  <si>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</si>
  <si>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</si>
  <si>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</si>
  <si>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</si>
  <si>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</si>
  <si>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</si>
  <si>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</si>
  <si>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</si>
  <si>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</si>
  <si>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</si>
  <si>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</si>
  <si>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</si>
  <si>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</si>
  <si>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</si>
  <si>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</si>
  <si>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</si>
  <si>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</si>
  <si>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</si>
  <si>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</si>
  <si>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</si>
  <si>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</si>
  <si>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</si>
  <si>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</si>
  <si>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</si>
  <si>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</si>
  <si>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</si>
  <si>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</si>
  <si>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</si>
  <si>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</si>
  <si>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</si>
  <si>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</si>
  <si>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</si>
  <si>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</si>
  <si>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</si>
  <si>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</si>
  <si>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</si>
  <si>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</si>
  <si>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</si>
  <si>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</si>
  <si>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</si>
  <si>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</si>
  <si>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</si>
  <si>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</si>
  <si>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</si>
  <si>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</si>
  <si>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</si>
  <si>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</si>
  <si>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</si>
  <si>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</si>
  <si>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</si>
  <si>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</si>
  <si>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</si>
  <si>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</si>
  <si>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</si>
  <si>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</si>
  <si>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</si>
  <si>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</si>
  <si>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</si>
  <si>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</si>
  <si>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</si>
  <si>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</si>
  <si>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</si>
  <si>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</si>
  <si>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</si>
  <si>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</si>
  <si>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</si>
  <si>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</si>
  <si>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</si>
  <si>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</si>
  <si>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</si>
  <si>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</si>
  <si>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</si>
  <si>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</si>
  <si>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</si>
  <si>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</si>
  <si>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</si>
  <si>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</si>
  <si>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</si>
  <si>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</si>
  <si>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</si>
  <si>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</si>
  <si>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</si>
  <si>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</si>
  <si>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</si>
  <si>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</si>
  <si>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</si>
  <si>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</si>
  <si>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</si>
  <si>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</si>
  <si>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</si>
  <si>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</si>
  <si>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</si>
  <si>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</si>
  <si>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</si>
  <si>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</si>
  <si>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</si>
  <si>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</si>
  <si>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</si>
  <si>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</si>
  <si>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</si>
  <si>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</si>
  <si>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</si>
  <si>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</si>
  <si>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</si>
  <si>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</si>
  <si>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</si>
  <si>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</si>
  <si>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</si>
  <si>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</si>
  <si>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</si>
  <si>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</si>
  <si>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</si>
  <si>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</si>
  <si>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</si>
  <si>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</si>
  <si>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</si>
  <si>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</si>
  <si>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</si>
  <si>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</si>
  <si>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</si>
  <si>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</si>
  <si>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</si>
  <si>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</si>
  <si>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</si>
  <si>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</si>
  <si>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</si>
  <si>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</si>
  <si>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</si>
  <si>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</si>
  <si>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</si>
  <si>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</si>
  <si>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</si>
  <si>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</si>
  <si>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</si>
  <si>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</si>
  <si>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</si>
  <si>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</si>
  <si>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</si>
  <si>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</si>
  <si>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</si>
  <si>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</si>
  <si>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</si>
  <si>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</si>
  <si>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</si>
  <si>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</si>
  <si>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</si>
  <si>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</si>
  <si>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</si>
  <si>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</si>
  <si>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</si>
  <si>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</si>
  <si>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</si>
  <si>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</si>
  <si>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</si>
  <si>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</si>
  <si>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</si>
  <si>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</si>
  <si>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</si>
  <si>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</si>
  <si>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</si>
  <si>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</si>
  <si>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</si>
  <si>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</si>
  <si>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</si>
  <si>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</si>
  <si>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</si>
  <si>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</si>
  <si>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</si>
  <si>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</si>
  <si>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</si>
  <si>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</si>
  <si>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</si>
  <si>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</si>
  <si>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</si>
  <si>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</si>
  <si>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</si>
  <si>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</si>
  <si>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</si>
  <si>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</si>
  <si>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</si>
  <si>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</si>
  <si>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</si>
  <si>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</si>
  <si>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</si>
  <si>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</si>
  <si>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</si>
  <si>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</si>
  <si>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</si>
  <si>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</si>
  <si>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</si>
  <si>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</si>
  <si>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</si>
  <si>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</si>
  <si>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</si>
  <si>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</si>
  <si>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</si>
  <si>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</si>
  <si>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</si>
  <si>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</si>
  <si>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</si>
  <si>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</si>
  <si>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</si>
  <si>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</si>
  <si>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</si>
  <si>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</si>
  <si>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</si>
  <si>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</si>
  <si>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</si>
  <si>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</si>
  <si>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</si>
  <si>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</si>
  <si>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</si>
  <si>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</si>
  <si>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</si>
  <si>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</si>
  <si>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</si>
  <si>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</si>
  <si>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</si>
  <si>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</si>
  <si>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</si>
  <si>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</si>
  <si>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</si>
  <si>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</si>
  <si>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</si>
  <si>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</si>
  <si>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</si>
  <si>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</si>
  <si>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</si>
  <si>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</si>
  <si>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</si>
  <si>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</si>
  <si>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</si>
  <si>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</si>
  <si>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</si>
  <si>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</si>
  <si>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</si>
  <si>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</si>
  <si>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</si>
  <si>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</si>
  <si>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</si>
  <si>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</si>
  <si>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</si>
  <si>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</si>
  <si>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</si>
  <si>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</si>
  <si>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</si>
  <si>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</si>
  <si>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</si>
  <si>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</si>
  <si>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</si>
  <si>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</si>
  <si>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</si>
  <si>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</si>
  <si>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</si>
  <si>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</si>
  <si>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</si>
  <si>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</si>
  <si>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</si>
  <si>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</si>
  <si>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</si>
  <si>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</si>
  <si>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</si>
  <si>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</si>
  <si>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</si>
  <si>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</si>
  <si>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</si>
  <si>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</si>
  <si>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</si>
  <si>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</si>
  <si>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</si>
  <si>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</si>
  <si>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</si>
  <si>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</si>
  <si>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</si>
  <si>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</si>
  <si>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</si>
  <si>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</si>
  <si>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</si>
  <si>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</si>
  <si>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</si>
  <si>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</si>
  <si>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</si>
  <si>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</si>
  <si>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</si>
  <si>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</si>
  <si>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</si>
  <si>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</si>
  <si>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</si>
  <si>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</si>
  <si>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</si>
  <si>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</si>
  <si>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</si>
  <si>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</si>
  <si>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</si>
  <si>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</si>
  <si>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</si>
  <si>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</si>
  <si>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</si>
  <si>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</si>
  <si>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</si>
  <si>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</si>
  <si>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</si>
  <si>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</si>
  <si>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</si>
  <si>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</si>
  <si>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</si>
  <si>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</si>
  <si>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</si>
  <si>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</si>
  <si>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</si>
  <si>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</si>
  <si>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</si>
  <si>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</si>
  <si>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</si>
  <si>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</si>
  <si>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</si>
  <si>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</si>
  <si>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</si>
  <si>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</si>
  <si>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</si>
  <si>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</si>
  <si>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</si>
  <si>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</si>
  <si>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</si>
  <si>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</si>
  <si>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</si>
  <si>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</si>
  <si>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</si>
  <si>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</si>
  <si>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</si>
  <si>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</si>
  <si>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</si>
  <si>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</si>
  <si>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</si>
  <si>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</si>
  <si>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</si>
  <si>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</si>
  <si>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</si>
  <si>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</si>
  <si>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</si>
  <si>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</si>
  <si>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</si>
  <si>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</si>
  <si>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</si>
  <si>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</si>
  <si>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</si>
  <si>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</si>
  <si>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</si>
  <si>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</si>
  <si>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</si>
  <si>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</si>
  <si>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</si>
  <si>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</si>
  <si>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</si>
  <si>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</si>
  <si>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</si>
  <si>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</si>
  <si>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</si>
  <si>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</si>
  <si>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</si>
  <si>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</si>
  <si>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</si>
  <si>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</si>
  <si>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</si>
  <si>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</si>
  <si>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</si>
  <si>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</si>
  <si>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</si>
  <si>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</si>
  <si>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</si>
  <si>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</si>
  <si>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</si>
  <si>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</si>
  <si>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</si>
  <si>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</si>
  <si>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</si>
  <si>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</si>
  <si>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</si>
  <si>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</si>
  <si>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</si>
  <si>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</si>
  <si>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</si>
  <si>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</si>
  <si>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</si>
  <si>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</si>
  <si>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</si>
  <si>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</si>
  <si>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</si>
  <si>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</si>
  <si>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</si>
  <si>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</si>
  <si>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</si>
  <si>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</si>
  <si>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</si>
  <si>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</si>
  <si>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</si>
  <si>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</si>
  <si>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</si>
  <si>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</si>
  <si>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</si>
  <si>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</si>
  <si>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</si>
  <si>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</si>
  <si>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</si>
  <si>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</si>
  <si>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</si>
  <si>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</si>
  <si>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</si>
  <si>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</si>
  <si>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</si>
  <si>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</si>
  <si>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</si>
  <si>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</si>
  <si>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</si>
  <si>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</si>
  <si>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</si>
  <si>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</si>
  <si>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</si>
  <si>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</si>
  <si>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</si>
  <si>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</si>
  <si>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</si>
  <si>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</si>
  <si>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</si>
  <si>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</si>
  <si>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</si>
  <si>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</si>
  <si>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</si>
  <si>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</si>
  <si>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</si>
  <si>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</si>
  <si>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</si>
  <si>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</si>
  <si>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</si>
  <si>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</si>
  <si>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</si>
  <si>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</si>
  <si>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</si>
  <si>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</si>
  <si>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</si>
  <si>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</si>
  <si>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</si>
  <si>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</si>
  <si>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</si>
  <si>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</si>
  <si>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</si>
  <si>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</si>
  <si>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</si>
  <si>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</si>
  <si>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</si>
  <si>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</si>
  <si>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</si>
  <si>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</si>
  <si>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</si>
  <si>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</si>
  <si>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</si>
  <si>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</si>
  <si>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</si>
  <si>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</si>
  <si>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</si>
  <si>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</si>
  <si>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</si>
  <si>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</si>
  <si>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</si>
  <si>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</si>
  <si>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</si>
  <si>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</si>
  <si>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</si>
  <si>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</si>
  <si>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</si>
  <si>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</si>
  <si>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</si>
  <si>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</si>
  <si>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</si>
  <si>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</si>
  <si>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</si>
  <si>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</si>
  <si>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</si>
  <si>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</si>
  <si>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</si>
  <si>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</si>
  <si>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</si>
  <si>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</si>
  <si>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</si>
  <si>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</si>
  <si>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</si>
  <si>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</si>
  <si>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</si>
  <si>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</si>
  <si>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</si>
  <si>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</si>
  <si>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</si>
  <si>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</si>
  <si>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</si>
  <si>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</si>
  <si>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</si>
  <si>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</si>
  <si>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</si>
  <si>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</si>
  <si>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</si>
  <si>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</si>
  <si>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</si>
  <si>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</si>
  <si>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</si>
  <si>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</si>
  <si>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</si>
  <si>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</si>
  <si>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</si>
  <si>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</si>
  <si>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</si>
  <si>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</si>
  <si>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</si>
  <si>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</si>
  <si>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</si>
  <si>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</si>
  <si>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</si>
  <si>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</si>
  <si>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</si>
  <si>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</si>
  <si>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</si>
  <si>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</si>
  <si>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</si>
  <si>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</si>
  <si>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</si>
  <si>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</si>
  <si>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</si>
  <si>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</si>
  <si>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</si>
  <si>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</si>
  <si>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</si>
  <si>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</si>
  <si>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</si>
  <si>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</si>
  <si>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</si>
  <si>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</si>
  <si>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</si>
  <si>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</si>
  <si>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</si>
  <si>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</si>
  <si>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</si>
  <si>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</si>
  <si>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</si>
  <si>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</si>
  <si>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</si>
  <si>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</si>
  <si>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</si>
  <si>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</si>
  <si>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</si>
  <si>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</si>
  <si>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</si>
  <si>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</si>
  <si>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</si>
  <si>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</si>
  <si>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</si>
  <si>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</si>
  <si>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</si>
  <si>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</si>
  <si>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</si>
  <si>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</si>
  <si>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</si>
  <si>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</si>
  <si>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</si>
  <si>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</si>
  <si>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</si>
  <si>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</si>
  <si>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</si>
  <si>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</si>
  <si>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</si>
  <si>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</si>
  <si>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</si>
  <si>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</si>
  <si>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</si>
  <si>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</si>
  <si>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</si>
  <si>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</si>
  <si>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</si>
  <si>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</si>
  <si>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</si>
  <si>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</si>
  <si>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</si>
  <si>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</si>
  <si>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</si>
  <si>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</si>
  <si>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</si>
  <si>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</si>
  <si>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</si>
  <si>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</si>
  <si>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</si>
  <si>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</si>
  <si>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</si>
  <si>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</si>
  <si>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</si>
  <si>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</si>
  <si>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</si>
  <si>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</si>
  <si>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</si>
  <si>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</si>
  <si>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</si>
  <si>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</si>
  <si>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</si>
  <si>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</si>
  <si>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</si>
  <si>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</si>
  <si>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</si>
  <si>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</si>
  <si>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</si>
  <si>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</si>
  <si>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</si>
  <si>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</si>
  <si>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</si>
  <si>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</si>
  <si>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</si>
  <si>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</si>
  <si>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</si>
  <si>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</si>
  <si>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</si>
  <si>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</si>
  <si>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</si>
  <si>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</si>
  <si>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</si>
  <si>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</si>
  <si>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</si>
  <si>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</si>
  <si>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</si>
  <si>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</si>
  <si>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</si>
  <si>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</si>
  <si>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</si>
  <si>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</si>
  <si>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</si>
  <si>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</si>
  <si>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</si>
  <si>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</si>
  <si>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</si>
  <si>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</si>
  <si>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</si>
  <si>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</si>
  <si>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</si>
  <si>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</si>
  <si>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</si>
  <si>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</si>
  <si>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</si>
  <si>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</si>
  <si>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</si>
  <si>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</si>
  <si>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</si>
  <si>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</si>
  <si>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</si>
  <si>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</si>
  <si>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</si>
  <si>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</si>
  <si>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</si>
  <si>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</si>
  <si>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</si>
  <si>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</si>
  <si>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</si>
  <si>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</si>
  <si>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</si>
  <si>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</si>
  <si>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</si>
  <si>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</si>
  <si>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</si>
  <si>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</si>
  <si>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</si>
  <si>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</si>
  <si>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</si>
  <si>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</si>
  <si>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</si>
  <si>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</si>
  <si>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</si>
  <si>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</si>
  <si>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</si>
  <si>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</si>
  <si>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</si>
  <si>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</si>
  <si>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</si>
  <si>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</si>
  <si>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</si>
  <si>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</si>
  <si>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</si>
  <si>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</si>
  <si>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</si>
  <si>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</si>
  <si>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</si>
  <si>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</si>
  <si>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</si>
  <si>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</si>
  <si>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</si>
  <si>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</si>
  <si>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</si>
  <si>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</si>
  <si>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</si>
  <si>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</si>
  <si>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</si>
  <si>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</si>
  <si>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</si>
  <si>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</si>
  <si>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</si>
  <si>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</si>
  <si>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</si>
  <si>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</si>
  <si>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</si>
  <si>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</si>
  <si>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</si>
  <si>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</si>
  <si>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</si>
  <si>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</si>
  <si>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</si>
  <si>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</si>
  <si>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</si>
  <si>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</si>
  <si>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</si>
  <si>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</si>
  <si>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</si>
  <si>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</si>
  <si>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</si>
  <si>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</si>
  <si>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</si>
  <si>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</si>
  <si>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</si>
  <si>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</si>
  <si>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</si>
  <si>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</si>
  <si>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</si>
  <si>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</si>
  <si>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</si>
  <si>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</si>
  <si>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</si>
  <si>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</si>
  <si>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</si>
  <si>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</si>
  <si>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</si>
  <si>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</si>
  <si>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</si>
  <si>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</si>
  <si>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</si>
  <si>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</si>
  <si>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</si>
  <si>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</si>
  <si>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</si>
  <si>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</si>
  <si>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</si>
  <si>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</si>
  <si>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</si>
  <si>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</si>
  <si>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</si>
  <si>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</si>
  <si>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</si>
  <si>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</si>
  <si>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</si>
  <si>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</si>
  <si>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</si>
  <si>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</si>
  <si>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</si>
  <si>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</si>
  <si>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</si>
  <si>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</si>
  <si>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</si>
  <si>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</si>
  <si>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</si>
  <si>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</si>
  <si>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</si>
  <si>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</si>
  <si>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</si>
  <si>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</si>
  <si>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</si>
  <si>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</si>
  <si>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</si>
  <si>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</si>
  <si>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</si>
  <si>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</si>
  <si>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</si>
  <si>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</si>
  <si>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</si>
  <si>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</si>
  <si>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</si>
  <si>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</si>
  <si>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</si>
  <si>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</si>
  <si>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</si>
  <si>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</si>
  <si>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</si>
  <si>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</si>
  <si>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</si>
  <si>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</si>
  <si>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</si>
  <si>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</si>
  <si>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</si>
  <si>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</si>
  <si>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</si>
  <si>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</si>
  <si>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</si>
  <si>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</si>
  <si>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</si>
  <si>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</si>
  <si>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</si>
  <si>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</si>
  <si>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</si>
  <si>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</si>
  <si>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</si>
  <si>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</si>
  <si>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</si>
  <si>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</si>
  <si>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</si>
  <si>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</si>
  <si>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</si>
  <si>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</si>
  <si>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</si>
  <si>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</si>
  <si>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</si>
  <si>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</si>
  <si>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</si>
  <si>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</si>
  <si>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</si>
  <si>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</si>
  <si>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</si>
  <si>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</si>
  <si>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</si>
  <si>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</si>
  <si>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</si>
  <si>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</si>
  <si>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</si>
  <si>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</si>
  <si>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</si>
  <si>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</si>
  <si>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</si>
  <si>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</si>
  <si>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</si>
  <si>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</si>
  <si>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</si>
  <si>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</si>
  <si>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</si>
  <si>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</si>
  <si>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</si>
  <si>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</si>
  <si>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</si>
  <si>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</si>
  <si>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</si>
  <si>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</si>
  <si>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</si>
  <si>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</si>
  <si>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</si>
  <si>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</si>
  <si>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</si>
  <si>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</si>
  <si>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</si>
  <si>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</si>
  <si>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</si>
  <si>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</si>
  <si>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</si>
  <si>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</si>
  <si>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</si>
  <si>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</si>
  <si>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</si>
  <si>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</si>
  <si>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</si>
  <si>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</si>
  <si>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</si>
  <si>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</si>
  <si>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</si>
  <si>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</si>
  <si>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</si>
  <si>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</si>
  <si>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</si>
  <si>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</si>
  <si>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</si>
  <si>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</si>
  <si>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</si>
  <si>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</si>
  <si>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</si>
  <si>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</si>
  <si>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</si>
  <si>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</si>
  <si>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</si>
  <si>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</si>
  <si>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</si>
  <si>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</si>
  <si>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</si>
  <si>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</si>
  <si>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</si>
  <si>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</si>
  <si>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</si>
  <si>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</si>
  <si>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</si>
  <si>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</si>
  <si>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</si>
  <si>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</si>
  <si>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</si>
  <si>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</si>
  <si>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</si>
  <si>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</si>
  <si>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</si>
  <si>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</si>
  <si>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</si>
  <si>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</si>
  <si>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</si>
  <si>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</si>
  <si>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</si>
  <si>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</si>
  <si>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</si>
  <si>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</si>
  <si>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</si>
  <si>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</si>
  <si>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</si>
  <si>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</si>
  <si>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</si>
  <si>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</si>
  <si>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</si>
  <si>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</si>
  <si>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</si>
  <si>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</si>
  <si>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</si>
  <si>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</si>
  <si>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</si>
  <si>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</si>
  <si>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</si>
  <si>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</si>
  <si>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</si>
  <si>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</si>
  <si>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</si>
  <si>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</si>
  <si>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</si>
  <si>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</si>
  <si>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</si>
  <si>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</si>
  <si>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</si>
  <si>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</si>
  <si>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</si>
  <si>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</si>
  <si>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</si>
  <si>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</si>
  <si>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</si>
  <si>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</si>
  <si>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</si>
  <si>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</si>
  <si>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</si>
  <si>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</si>
  <si>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</si>
  <si>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</si>
  <si>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</si>
  <si>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</si>
  <si>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</si>
  <si>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</si>
  <si>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</si>
  <si>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</si>
  <si>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</si>
  <si>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</si>
  <si>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</si>
  <si>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</si>
  <si>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</si>
  <si>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</si>
  <si>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</si>
  <si>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</si>
  <si>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</si>
  <si>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</si>
  <si>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</si>
  <si>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</si>
  <si>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</si>
  <si>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</si>
  <si>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</si>
  <si>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</si>
  <si>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</si>
  <si>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</si>
  <si>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</si>
  <si>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</si>
  <si>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</si>
  <si>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</si>
  <si>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</si>
  <si>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</si>
  <si>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</si>
  <si>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</si>
  <si>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</si>
  <si>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</si>
  <si>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</si>
  <si>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</si>
  <si>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</si>
  <si>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</si>
  <si>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</si>
  <si>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</si>
  <si>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</si>
  <si>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</si>
  <si>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</si>
  <si>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</si>
  <si>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</si>
  <si>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</si>
  <si>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</si>
  <si>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</si>
  <si>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</si>
  <si>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</si>
  <si>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</si>
  <si>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</si>
  <si>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</si>
  <si>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</si>
  <si>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</si>
  <si>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</si>
  <si>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</si>
  <si>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</si>
  <si>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</si>
  <si>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</si>
  <si>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</si>
  <si>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</si>
  <si>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</si>
  <si>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</si>
  <si>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</si>
  <si>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</si>
  <si>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</si>
  <si>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</si>
  <si>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</si>
  <si>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</si>
  <si>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</si>
  <si>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</si>
  <si>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</si>
  <si>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</si>
  <si>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</si>
  <si>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</si>
  <si>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</si>
  <si>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</si>
  <si>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</si>
  <si>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</si>
  <si>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</si>
  <si>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</si>
  <si>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</si>
  <si>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</si>
  <si>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</si>
  <si>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</si>
  <si>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</si>
  <si>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</si>
  <si>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</si>
  <si>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</si>
  <si>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</si>
  <si>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</si>
  <si>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</si>
  <si>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</si>
  <si>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</si>
  <si>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</si>
  <si>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</si>
  <si>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</si>
  <si>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</si>
  <si>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</si>
  <si>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</si>
  <si>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</si>
  <si>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</si>
  <si>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</si>
  <si>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</si>
  <si>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</si>
  <si>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</si>
  <si>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</si>
  <si>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</si>
  <si>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</si>
  <si>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</si>
  <si>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</si>
  <si>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</si>
  <si>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</si>
  <si>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</si>
  <si>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</si>
  <si>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</si>
  <si>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</si>
  <si>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</si>
  <si>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</si>
  <si>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</si>
  <si>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</si>
  <si>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</si>
  <si>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</si>
  <si>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</si>
  <si>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</si>
  <si>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</si>
  <si>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</si>
  <si>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</si>
  <si>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</si>
  <si>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</si>
  <si>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</si>
  <si>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</si>
  <si>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</si>
  <si>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</si>
  <si>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</si>
  <si>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</si>
  <si>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</si>
  <si>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</si>
  <si>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</si>
  <si>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</si>
  <si>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</si>
  <si>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</si>
  <si>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</si>
  <si>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</si>
  <si>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</si>
  <si>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</si>
  <si>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</si>
  <si>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</si>
  <si>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</si>
  <si>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</si>
  <si>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</si>
  <si>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</si>
  <si>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</si>
  <si>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</si>
  <si>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</si>
  <si>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</si>
  <si>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</si>
  <si>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</si>
  <si>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</si>
  <si>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</si>
  <si>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</si>
  <si>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</si>
  <si>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</si>
  <si>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</si>
  <si>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</si>
  <si>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</si>
  <si>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</si>
  <si>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</si>
  <si>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</si>
  <si>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</si>
  <si>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</si>
  <si>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</si>
  <si>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</si>
  <si>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</si>
  <si>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</si>
  <si>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</si>
  <si>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</si>
  <si>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</si>
  <si>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</si>
  <si>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</si>
  <si>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</si>
  <si>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</si>
  <si>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</si>
  <si>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</si>
  <si>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</si>
  <si>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</si>
  <si>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</si>
  <si>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</si>
  <si>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</si>
  <si>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</si>
  <si>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</si>
  <si>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</si>
  <si>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</si>
  <si>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</si>
  <si>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</si>
  <si>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</si>
  <si>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</si>
  <si>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</si>
  <si>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</si>
  <si>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</si>
  <si>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</si>
  <si>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</si>
  <si>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</si>
  <si>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</si>
  <si>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</si>
  <si>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</si>
  <si>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</si>
  <si>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</si>
  <si>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</si>
  <si>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</si>
  <si>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</si>
  <si>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</si>
  <si>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</si>
  <si>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</si>
  <si>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</si>
  <si>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</si>
  <si>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</si>
  <si>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</si>
  <si>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</si>
  <si>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</si>
  <si>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</si>
  <si>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</si>
  <si>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</si>
  <si>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</si>
  <si>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</si>
  <si>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</si>
  <si>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</si>
  <si>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</si>
  <si>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</si>
  <si>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</si>
  <si>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</si>
  <si>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</si>
  <si>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</si>
  <si>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</si>
  <si>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</si>
  <si>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</si>
  <si>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</si>
  <si>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</si>
  <si>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</si>
  <si>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</si>
  <si>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</si>
  <si>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</si>
  <si>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</si>
  <si>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</si>
  <si>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</si>
  <si>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</si>
  <si>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</si>
  <si>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</si>
  <si>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</si>
  <si>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</si>
  <si>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</si>
  <si>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</si>
  <si>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</si>
  <si>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</si>
  <si>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</si>
  <si>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</si>
  <si>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</si>
  <si>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</si>
  <si>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</si>
  <si>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</si>
  <si>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</si>
  <si>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</si>
  <si>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</si>
  <si>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</si>
  <si>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</si>
  <si>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</si>
  <si>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</si>
  <si>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</si>
  <si>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</si>
  <si>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</si>
  <si>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</si>
  <si>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</si>
  <si>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</si>
  <si>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</si>
  <si>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</si>
  <si>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</si>
  <si>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</si>
  <si>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</si>
  <si>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</si>
  <si>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</si>
  <si>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</si>
  <si>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</si>
  <si>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</si>
  <si>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</si>
  <si>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</si>
  <si>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</si>
  <si>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</si>
  <si>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</si>
  <si>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</si>
  <si>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</si>
  <si>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</si>
  <si>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</si>
  <si>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</si>
  <si>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</si>
  <si>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</si>
  <si>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</si>
  <si>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</si>
  <si>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</si>
  <si>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</si>
  <si>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</si>
  <si>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</si>
  <si>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</si>
  <si>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</si>
  <si>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</si>
  <si>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</si>
  <si>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</si>
  <si>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</si>
  <si>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</si>
  <si>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</si>
  <si>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</si>
  <si>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</si>
  <si>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</si>
  <si>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</si>
  <si>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</si>
  <si>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</si>
  <si>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</si>
  <si>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</si>
  <si>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</si>
  <si>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</si>
  <si>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</si>
  <si>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</si>
  <si>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</si>
  <si>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</si>
  <si>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</si>
  <si>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</si>
  <si>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</si>
  <si>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</si>
  <si>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</si>
  <si>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</si>
  <si>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</si>
  <si>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</si>
  <si>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</si>
  <si>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</si>
  <si>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</si>
  <si>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</si>
  <si>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</si>
  <si>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</si>
  <si>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</si>
  <si>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</si>
  <si>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</si>
  <si>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</si>
  <si>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</si>
  <si>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</si>
  <si>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</si>
  <si>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</si>
  <si>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</si>
  <si>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</si>
  <si>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</si>
  <si>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</si>
  <si>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</si>
  <si>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</si>
  <si>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</si>
  <si>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</si>
  <si>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</si>
  <si>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</si>
  <si>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</si>
  <si>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</si>
  <si>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</si>
  <si>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</si>
  <si>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</si>
  <si>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</si>
  <si>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</si>
  <si>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</si>
  <si>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</si>
  <si>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</si>
  <si>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</si>
  <si>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</si>
  <si>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</si>
  <si>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</si>
  <si>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</si>
  <si>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</si>
  <si>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</si>
  <si>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</si>
  <si>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</si>
  <si>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</si>
  <si>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</si>
  <si>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</si>
  <si>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</si>
  <si>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</si>
  <si>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</si>
  <si>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</si>
  <si>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</si>
  <si>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</si>
  <si>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</si>
  <si>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</si>
  <si>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</si>
  <si>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</si>
  <si>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</si>
  <si>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</si>
  <si>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</si>
  <si>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</si>
  <si>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</si>
  <si>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</si>
  <si>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</si>
  <si>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</si>
  <si>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</si>
  <si>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</si>
  <si>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</si>
  <si>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</si>
  <si>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</si>
  <si>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</si>
  <si>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</si>
  <si>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</si>
  <si>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</si>
  <si>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</si>
  <si>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</si>
  <si>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</si>
  <si>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</si>
  <si>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</si>
  <si>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</si>
  <si>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</si>
  <si>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</si>
  <si>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</si>
  <si>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</si>
  <si>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</si>
  <si>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</si>
  <si>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</si>
  <si>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</si>
  <si>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</si>
  <si>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</si>
  <si>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</si>
  <si>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</si>
  <si>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</si>
  <si>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</si>
  <si>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</si>
  <si>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</si>
  <si>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</si>
  <si>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</si>
  <si>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</si>
  <si>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</si>
  <si>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</si>
  <si>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</si>
  <si>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</si>
  <si>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</si>
  <si>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</si>
  <si>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</si>
  <si>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</si>
  <si>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</si>
  <si>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</si>
  <si>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</si>
  <si>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</si>
  <si>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</si>
  <si>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</si>
  <si>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</si>
  <si>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</si>
  <si>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</si>
  <si>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</si>
  <si>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</si>
  <si>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</si>
  <si>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</si>
  <si>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</si>
  <si>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</si>
  <si>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</si>
  <si>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</si>
  <si>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</si>
  <si>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</si>
  <si>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</si>
  <si>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</si>
  <si>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</si>
  <si>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</si>
  <si>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</si>
  <si>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</si>
  <si>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</si>
  <si>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</si>
  <si>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</si>
  <si>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</si>
  <si>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</si>
  <si>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</si>
  <si>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</si>
  <si>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</si>
  <si>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</si>
  <si>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</si>
  <si>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</si>
  <si>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</si>
  <si>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</si>
  <si>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</si>
  <si>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</si>
  <si>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</si>
  <si>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</si>
  <si>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</si>
  <si>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</si>
  <si>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</si>
  <si>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</si>
  <si>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</si>
  <si>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</si>
  <si>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</si>
  <si>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</si>
  <si>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</si>
  <si>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</si>
  <si>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</si>
  <si>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</si>
  <si>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</si>
  <si>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</si>
  <si>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</si>
  <si>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</si>
  <si>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</si>
  <si>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</si>
  <si>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</si>
  <si>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</si>
  <si>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</si>
  <si>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</si>
  <si>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</si>
  <si>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</si>
  <si>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</si>
  <si>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</si>
  <si>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</si>
  <si>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</si>
  <si>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</si>
  <si>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</si>
  <si>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</si>
  <si>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</si>
  <si>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</si>
  <si>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</si>
  <si>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</si>
  <si>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</si>
  <si>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</si>
  <si>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</si>
  <si>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</si>
  <si>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</si>
  <si>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</si>
  <si>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</si>
  <si>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</si>
  <si>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</si>
  <si>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</si>
  <si>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</si>
  <si>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</si>
  <si>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</si>
  <si>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</si>
  <si>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</si>
  <si>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</si>
  <si>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</si>
  <si>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</si>
  <si>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</si>
  <si>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</si>
  <si>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</si>
  <si>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</si>
  <si>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</si>
  <si>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</si>
  <si>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</si>
  <si>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</si>
  <si>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</si>
  <si>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</si>
  <si>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</si>
  <si>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</si>
  <si>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</si>
  <si>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</si>
  <si>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</si>
  <si>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</si>
  <si>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</si>
  <si>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</si>
  <si>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</si>
  <si>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</si>
  <si>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</si>
  <si>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</si>
  <si>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</si>
  <si>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</si>
  <si>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</si>
  <si>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</si>
  <si>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</si>
  <si>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</si>
  <si>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</si>
  <si>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</si>
  <si>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</si>
  <si>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</si>
  <si>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</si>
  <si>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</si>
  <si>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</si>
  <si>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</si>
  <si>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</si>
  <si>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</si>
  <si>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</si>
  <si>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</si>
  <si>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</si>
  <si>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</si>
  <si>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</si>
  <si>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</si>
  <si>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</si>
  <si>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</si>
  <si>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</si>
  <si>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</si>
  <si>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</si>
  <si>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</si>
  <si>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</si>
  <si>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</si>
  <si>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</si>
  <si>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</si>
  <si>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</si>
  <si>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</si>
  <si>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</si>
  <si>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</si>
  <si>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</si>
  <si>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</si>
  <si>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</si>
  <si>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</si>
  <si>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</si>
  <si>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</si>
  <si>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</si>
  <si>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</si>
  <si>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</si>
  <si>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</si>
  <si>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</si>
  <si>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</si>
  <si>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</si>
  <si>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</si>
  <si>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</si>
  <si>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</si>
  <si>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</si>
  <si>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</si>
  <si>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</si>
  <si>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</si>
  <si>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</si>
  <si>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</si>
  <si>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</si>
  <si>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</si>
  <si>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</si>
  <si>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</si>
  <si>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</si>
  <si>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</si>
  <si>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</si>
  <si>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</si>
  <si>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</si>
  <si>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</si>
  <si>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</si>
  <si>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</si>
  <si>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</si>
  <si>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</si>
  <si>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</si>
  <si>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</si>
  <si>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</si>
  <si>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</si>
  <si>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</si>
  <si>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</si>
  <si>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</si>
  <si>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</si>
  <si>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</si>
  <si>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</si>
  <si>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</si>
  <si>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</si>
  <si>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</si>
  <si>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</si>
  <si>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</si>
  <si>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</si>
  <si>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</si>
  <si>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</si>
  <si>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</si>
  <si>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</si>
  <si>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</si>
  <si>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</si>
  <si>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</si>
  <si>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</si>
  <si>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</si>
  <si>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</si>
  <si>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</si>
  <si>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</si>
  <si>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</si>
  <si>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</si>
  <si>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</si>
  <si>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</si>
  <si>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</si>
  <si>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</si>
  <si>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</si>
  <si>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</si>
  <si>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</si>
  <si>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</si>
  <si>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</si>
  <si>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</si>
  <si>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</si>
  <si>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</si>
  <si>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</si>
  <si>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</si>
  <si>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</si>
  <si>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</si>
  <si>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</si>
  <si>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</si>
  <si>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</si>
  <si>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</si>
  <si>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</si>
  <si>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</si>
  <si>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</si>
  <si>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</si>
  <si>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</si>
  <si>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</si>
  <si>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</si>
  <si>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</si>
  <si>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</si>
  <si>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</si>
  <si>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</si>
  <si>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</si>
  <si>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</si>
  <si>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</si>
  <si>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</si>
  <si>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</si>
  <si>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</si>
  <si>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</si>
  <si>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</si>
  <si>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</si>
  <si>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</si>
  <si>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</si>
  <si>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</si>
  <si>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</si>
  <si>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</si>
  <si>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</si>
  <si>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</si>
  <si>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</si>
  <si>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</si>
  <si>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</si>
  <si>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</si>
  <si>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</si>
  <si>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</si>
  <si>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</si>
  <si>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</si>
  <si>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</si>
  <si>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</si>
  <si>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</si>
  <si>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</si>
  <si>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</si>
  <si>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</si>
  <si>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</si>
  <si>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</si>
  <si>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</si>
  <si>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</si>
  <si>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</si>
  <si>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</si>
  <si>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</si>
  <si>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</si>
  <si>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</si>
  <si>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</si>
  <si>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</si>
  <si>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</si>
  <si>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</si>
  <si>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</si>
  <si>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</si>
  <si>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</si>
  <si>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</si>
  <si>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</si>
  <si>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</si>
  <si>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</si>
  <si>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</si>
  <si>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</si>
  <si>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</si>
  <si>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</si>
  <si>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</si>
  <si>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</si>
  <si>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</si>
  <si>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</si>
  <si>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</si>
  <si>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</si>
  <si>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</si>
  <si>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</si>
  <si>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</si>
  <si>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</si>
  <si>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</si>
  <si>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</si>
  <si>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</si>
  <si>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</si>
  <si>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</si>
  <si>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</si>
  <si>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</si>
  <si>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</si>
  <si>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</si>
  <si>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</si>
  <si>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</si>
  <si>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</si>
  <si>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</si>
  <si>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</si>
  <si>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</si>
  <si>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</si>
  <si>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</si>
  <si>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</si>
  <si>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</si>
  <si>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</si>
  <si>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</si>
  <si>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</si>
  <si>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</si>
  <si>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</si>
  <si>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</si>
  <si>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</si>
  <si>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</si>
  <si>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</si>
  <si>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</si>
  <si>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</si>
  <si>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</si>
  <si>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</si>
  <si>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</si>
  <si>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</si>
  <si>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</si>
  <si>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</si>
  <si>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</si>
  <si>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</si>
  <si>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</si>
  <si>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</si>
  <si>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</si>
  <si>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</si>
  <si>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</si>
  <si>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</si>
  <si>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</si>
  <si>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</si>
  <si>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</si>
  <si>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</si>
  <si>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</si>
  <si>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</si>
  <si>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</si>
  <si>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</si>
  <si>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</si>
  <si>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</si>
  <si>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</si>
  <si>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</si>
  <si>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</si>
  <si>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</si>
  <si>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</si>
  <si>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</si>
  <si>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</si>
  <si>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</si>
  <si>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</si>
  <si>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</si>
  <si>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</si>
  <si>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</si>
  <si>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</si>
  <si>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</si>
  <si>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</si>
  <si>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</si>
  <si>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</si>
  <si>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</si>
  <si>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</si>
  <si>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</si>
  <si>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</si>
  <si>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</si>
  <si>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</si>
  <si>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</si>
  <si>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</si>
  <si>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</si>
  <si>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</si>
  <si>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</si>
  <si>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</si>
  <si>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</si>
  <si>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</si>
  <si>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</si>
  <si>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</si>
  <si>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</si>
  <si>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</si>
  <si>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</si>
  <si>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</si>
  <si>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</si>
  <si>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</si>
  <si>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</si>
  <si>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</si>
  <si>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</si>
  <si>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</si>
  <si>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</si>
  <si>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</si>
  <si>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</si>
  <si>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</si>
  <si>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</si>
  <si>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</si>
  <si>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</si>
  <si>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</si>
  <si>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</si>
  <si>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</si>
  <si>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</si>
  <si>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</si>
  <si>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</si>
  <si>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</si>
  <si>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</si>
  <si>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</si>
  <si>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</si>
  <si>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</si>
  <si>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</si>
  <si>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</si>
  <si>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</si>
  <si>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</si>
  <si>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</si>
  <si>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</si>
  <si>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</si>
  <si>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</si>
  <si>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</si>
  <si>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</si>
  <si>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</si>
  <si>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</si>
  <si>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</si>
  <si>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</si>
  <si>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</si>
  <si>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</si>
  <si>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</si>
  <si>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</si>
  <si>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</si>
  <si>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</si>
  <si>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</si>
  <si>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</si>
  <si>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</si>
  <si>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</si>
  <si>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</si>
  <si>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</si>
  <si>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</si>
  <si>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</si>
  <si>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</si>
  <si>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</si>
  <si>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</si>
  <si>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</si>
  <si>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</si>
  <si>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</si>
  <si>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</si>
  <si>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</si>
  <si>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</si>
  <si>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</si>
  <si>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</si>
  <si>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</si>
  <si>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</si>
  <si>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</si>
  <si>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</si>
  <si>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</si>
  <si>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</si>
  <si>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</si>
  <si>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</si>
  <si>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</si>
  <si>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</si>
  <si>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</si>
  <si>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</si>
  <si>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</si>
  <si>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</si>
  <si>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</si>
  <si>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</si>
  <si>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</si>
  <si>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</si>
  <si>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</si>
  <si>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</si>
  <si>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</si>
  <si>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</si>
  <si>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</si>
  <si>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</si>
  <si>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</si>
  <si>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</si>
  <si>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</si>
  <si>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</si>
  <si>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</si>
  <si>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</si>
  <si>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</si>
  <si>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</si>
  <si>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</si>
  <si>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</si>
  <si>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</si>
  <si>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</si>
  <si>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</si>
  <si>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</si>
  <si>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</si>
  <si>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</si>
  <si>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</si>
  <si>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</si>
  <si>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</si>
  <si>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</si>
  <si>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</si>
  <si>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</si>
  <si>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</si>
  <si>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</si>
  <si>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</si>
  <si>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</si>
  <si>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</si>
  <si>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</si>
  <si>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</si>
  <si>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</si>
  <si>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</si>
  <si>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</si>
  <si>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</si>
  <si>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</si>
  <si>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</si>
  <si>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</si>
  <si>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</si>
  <si>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</si>
  <si>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</si>
  <si>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</si>
  <si>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</si>
  <si>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</si>
  <si>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</si>
  <si>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</si>
  <si>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</si>
  <si>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</si>
  <si>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</si>
  <si>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</si>
  <si>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</si>
  <si>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</si>
  <si>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</si>
  <si>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</si>
  <si>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</si>
  <si>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</si>
  <si>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</si>
  <si>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</si>
  <si>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</si>
  <si>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</si>
  <si>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</si>
  <si>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</si>
  <si>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</si>
  <si>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</si>
  <si>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</si>
  <si>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</si>
  <si>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</si>
  <si>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</si>
  <si>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</si>
  <si>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</si>
  <si>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</si>
  <si>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</si>
  <si>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</si>
  <si>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</si>
  <si>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</si>
  <si>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</si>
  <si>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</si>
  <si>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</si>
  <si>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</si>
  <si>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</si>
  <si>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</si>
  <si>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</si>
  <si>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</si>
  <si>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</si>
  <si>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</si>
  <si>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</si>
  <si>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</si>
  <si>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</si>
  <si>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</si>
  <si>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</si>
  <si>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</si>
  <si>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</si>
  <si>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</si>
  <si>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</si>
  <si>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</si>
  <si>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</si>
  <si>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</si>
  <si>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</si>
  <si>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</si>
  <si>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</si>
  <si>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</si>
  <si>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</si>
  <si>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</si>
  <si>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</si>
  <si>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</si>
  <si>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</si>
  <si>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</si>
  <si>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</si>
  <si>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</si>
  <si>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</si>
  <si>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</si>
  <si>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</si>
  <si>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</si>
  <si>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</si>
  <si>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</si>
  <si>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</si>
  <si>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</si>
  <si>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</si>
  <si>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</si>
  <si>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</si>
  <si>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</si>
  <si>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</si>
  <si>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</si>
  <si>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</si>
  <si>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</si>
  <si>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</si>
  <si>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</si>
  <si>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</si>
  <si>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</si>
  <si>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</si>
  <si>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</si>
  <si>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</si>
  <si>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</si>
  <si>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</si>
  <si>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</si>
  <si>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</si>
  <si>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</si>
  <si>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</si>
  <si>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</si>
  <si>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</si>
  <si>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</si>
  <si>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</si>
  <si>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</si>
  <si>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</si>
  <si>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</si>
  <si>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</si>
  <si>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</si>
  <si>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</si>
  <si>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</si>
  <si>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</si>
  <si>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</si>
  <si>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</si>
  <si>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</si>
  <si>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</si>
  <si>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</si>
  <si>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</si>
  <si>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</si>
  <si>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</si>
  <si>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</si>
  <si>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</si>
  <si>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</si>
  <si>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</si>
  <si>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</si>
  <si>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</si>
  <si>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</si>
  <si>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</si>
  <si>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</si>
  <si>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</si>
  <si>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</si>
  <si>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</si>
  <si>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</si>
  <si>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</si>
  <si>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</si>
  <si>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</si>
  <si>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</si>
  <si>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</si>
  <si>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</si>
  <si>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</si>
  <si>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</si>
  <si>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</si>
  <si>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</si>
  <si>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</si>
  <si>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</si>
  <si>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</si>
  <si>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</si>
  <si>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</si>
  <si>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</si>
  <si>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</si>
  <si>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</si>
  <si>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</si>
  <si>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</si>
  <si>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</si>
  <si>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</si>
  <si>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</si>
  <si>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</si>
  <si>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</si>
  <si>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</si>
  <si>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</si>
  <si>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</si>
  <si>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</si>
  <si>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</si>
  <si>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</si>
  <si>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</si>
  <si>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</si>
  <si>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</si>
  <si>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</si>
  <si>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</si>
  <si>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</si>
  <si>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</si>
  <si>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</si>
  <si>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</si>
  <si>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</si>
  <si>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</si>
  <si>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</si>
  <si>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</si>
  <si>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</si>
  <si>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</si>
  <si>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</si>
  <si>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</si>
  <si>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</si>
  <si>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</si>
  <si>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</si>
  <si>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</si>
  <si>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</si>
  <si>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</si>
  <si>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</si>
  <si>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</si>
  <si>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</si>
  <si>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</si>
  <si>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</si>
  <si>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</si>
  <si>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</si>
  <si>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</si>
  <si>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</si>
  <si>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</si>
  <si>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</si>
  <si>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</si>
  <si>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</si>
  <si>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</si>
  <si>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</si>
  <si>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</si>
  <si>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</si>
  <si>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</si>
  <si>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</si>
  <si>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</si>
  <si>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</si>
  <si>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</si>
  <si>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</si>
  <si>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</si>
  <si>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</si>
  <si>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</si>
  <si>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</si>
  <si>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</si>
  <si>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</si>
  <si>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</si>
  <si>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</si>
  <si>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</si>
  <si>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</si>
  <si>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</si>
  <si>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</si>
  <si>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</si>
  <si>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</si>
  <si>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</si>
  <si>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</si>
  <si>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</si>
  <si>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</si>
  <si>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</si>
  <si>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</si>
  <si>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</si>
  <si>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</si>
  <si>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</si>
  <si>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</si>
  <si>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</si>
  <si>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</si>
  <si>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</si>
  <si>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</si>
  <si>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</si>
  <si>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</si>
  <si>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</si>
  <si>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</si>
  <si>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</si>
  <si>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</si>
  <si>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</si>
  <si>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</si>
  <si>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</si>
  <si>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</si>
  <si>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</si>
  <si>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</si>
  <si>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</si>
  <si>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</si>
  <si>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</si>
  <si>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</si>
  <si>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</si>
  <si>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</si>
  <si>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</si>
  <si>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</si>
  <si>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</si>
  <si>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</si>
  <si>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</si>
  <si>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</si>
  <si>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</si>
  <si>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</si>
  <si>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</si>
  <si>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</si>
  <si>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</si>
  <si>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</si>
  <si>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</si>
  <si>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</si>
  <si>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</si>
  <si>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</si>
  <si>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</si>
  <si>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</si>
  <si>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</si>
  <si>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</si>
  <si>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</si>
  <si>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</si>
  <si>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</si>
  <si>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</si>
  <si>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</si>
  <si>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</si>
  <si>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</si>
  <si>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</si>
  <si>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</si>
  <si>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</si>
  <si>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</si>
  <si>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</si>
  <si>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</si>
  <si>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</si>
  <si>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</si>
  <si>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</si>
  <si>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</si>
  <si>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</si>
  <si>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</si>
  <si>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</si>
  <si>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</si>
  <si>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</si>
  <si>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</si>
  <si>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</si>
  <si>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</si>
  <si>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</si>
  <si>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</si>
  <si>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</si>
  <si>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</si>
  <si>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</si>
  <si>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</si>
  <si>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</si>
  <si>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</si>
  <si>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</si>
  <si>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</si>
  <si>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</si>
  <si>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</si>
  <si>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</si>
  <si>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</si>
  <si>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</si>
  <si>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</si>
  <si>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</si>
  <si>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</si>
  <si>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</si>
  <si>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</si>
  <si>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</si>
  <si>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</si>
  <si>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</si>
  <si>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</si>
  <si>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</si>
  <si>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</si>
  <si>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</si>
  <si>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</si>
  <si>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</si>
  <si>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</si>
  <si>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</si>
  <si>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</si>
  <si>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</si>
  <si>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</si>
  <si>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</si>
  <si>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</si>
  <si>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</si>
  <si>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</si>
  <si>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</si>
  <si>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</si>
  <si>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</si>
  <si>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</si>
  <si>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</si>
  <si>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</si>
  <si>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</si>
  <si>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</si>
  <si>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</si>
  <si>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</si>
  <si>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</si>
  <si>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</si>
  <si>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</si>
  <si>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</si>
  <si>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</si>
  <si>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</si>
  <si>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</si>
  <si>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</si>
  <si>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</si>
  <si>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</si>
  <si>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</si>
  <si>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</si>
  <si>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</si>
  <si>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</si>
  <si>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</si>
  <si>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</si>
  <si>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</si>
  <si>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</si>
  <si>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</si>
  <si>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</si>
  <si>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</si>
  <si>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</si>
  <si>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</si>
  <si>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</si>
  <si>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</si>
  <si>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</si>
  <si>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</si>
  <si>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</si>
  <si>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</si>
  <si>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</si>
  <si>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</si>
  <si>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</si>
  <si>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</si>
  <si>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</si>
  <si>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</si>
  <si>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</si>
  <si>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</si>
  <si>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</si>
  <si>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</si>
  <si>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</si>
  <si>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</si>
  <si>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</si>
  <si>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</si>
  <si>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</si>
  <si>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</si>
  <si>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</si>
  <si>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</si>
  <si>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</si>
  <si>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</si>
  <si>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</si>
  <si>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</si>
  <si>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</si>
  <si>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</si>
  <si>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</si>
  <si>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</si>
  <si>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</si>
  <si>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</si>
  <si>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</si>
  <si>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</si>
  <si>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</si>
  <si>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</si>
  <si>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</si>
  <si>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</si>
  <si>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</si>
  <si>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</si>
  <si>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</si>
  <si>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</si>
  <si>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</si>
  <si>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</si>
  <si>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</si>
  <si>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</si>
  <si>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</si>
  <si>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</si>
  <si>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</si>
  <si>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</si>
  <si>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</si>
  <si>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</si>
  <si>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</si>
  <si>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</si>
  <si>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</si>
  <si>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</si>
  <si>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</si>
  <si>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</si>
  <si>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</si>
  <si>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</si>
  <si>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</si>
  <si>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</si>
  <si>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</si>
  <si>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</si>
  <si>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</si>
  <si>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</si>
  <si>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</si>
  <si>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</si>
  <si>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</si>
  <si>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</si>
  <si>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</si>
  <si>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</si>
  <si>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</si>
  <si>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</si>
  <si>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</si>
  <si>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</si>
  <si>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</si>
  <si>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</si>
  <si>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</si>
  <si>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</si>
  <si>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</si>
  <si>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</si>
  <si>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</si>
  <si>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</si>
  <si>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</si>
  <si>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</si>
  <si>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</si>
  <si>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</si>
  <si>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</si>
  <si>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</si>
  <si>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</si>
  <si>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</si>
  <si>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</si>
  <si>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</si>
  <si>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</si>
  <si>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</si>
  <si>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</si>
  <si>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</si>
  <si>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</si>
  <si>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</si>
  <si>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</si>
  <si>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</si>
  <si>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</si>
  <si>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</si>
  <si>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</si>
  <si>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</si>
  <si>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</si>
  <si>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</si>
  <si>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</si>
  <si>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</si>
  <si>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</si>
  <si>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</si>
  <si>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</si>
  <si>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</si>
  <si>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</si>
  <si>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</si>
  <si>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</si>
  <si>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</si>
  <si>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</si>
  <si>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</si>
  <si>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</si>
  <si>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</si>
  <si>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</si>
  <si>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</si>
  <si>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</si>
  <si>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</si>
  <si>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</si>
  <si>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</si>
  <si>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</si>
  <si>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</si>
  <si>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</si>
  <si>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</si>
  <si>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</si>
  <si>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</si>
  <si>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</si>
  <si>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</si>
  <si>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</si>
  <si>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</si>
  <si>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</si>
  <si>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</si>
  <si>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</si>
  <si>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</si>
  <si>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</si>
  <si>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</si>
  <si>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</si>
  <si>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</si>
  <si>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</si>
  <si>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</si>
  <si>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</si>
  <si>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</si>
  <si>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</si>
  <si>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</si>
  <si>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</si>
  <si>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</si>
  <si>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</si>
  <si>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</si>
  <si>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</si>
  <si>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</si>
  <si>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</si>
  <si>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</si>
  <si>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</si>
  <si>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</si>
  <si>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</si>
  <si>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</si>
  <si>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</si>
  <si>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</si>
  <si>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</si>
  <si>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</si>
  <si>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</si>
  <si>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</si>
  <si>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</si>
  <si>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</si>
  <si>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</si>
  <si>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</si>
  <si>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</si>
  <si>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</si>
  <si>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</si>
  <si>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</si>
  <si>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</si>
  <si>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</si>
  <si>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</si>
  <si>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</si>
  <si>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</si>
  <si>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</si>
  <si>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</si>
  <si>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</si>
  <si>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</si>
  <si>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</si>
  <si>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</si>
  <si>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</si>
  <si>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</si>
  <si>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</si>
  <si>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</si>
  <si>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</si>
  <si>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</si>
  <si>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</si>
  <si>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</si>
  <si>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</si>
  <si>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</si>
  <si>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</si>
  <si>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</si>
  <si>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</si>
  <si>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</si>
  <si>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</si>
  <si>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</si>
  <si>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</si>
  <si>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</si>
  <si>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</si>
  <si>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</si>
  <si>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</si>
  <si>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</si>
  <si>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</si>
  <si>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</si>
  <si>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</si>
  <si>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</si>
  <si>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</si>
  <si>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</si>
  <si>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</si>
  <si>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</si>
  <si>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</si>
  <si>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</si>
  <si>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</si>
  <si>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</si>
  <si>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</si>
  <si>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</si>
  <si>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</si>
  <si>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</si>
  <si>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</si>
  <si>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</si>
  <si>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</si>
  <si>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</si>
  <si>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</si>
  <si>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</si>
  <si>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</si>
  <si>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</si>
  <si>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</si>
  <si>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</si>
  <si>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</si>
  <si>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</si>
  <si>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</si>
  <si>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</si>
  <si>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</si>
  <si>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</si>
  <si>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</si>
  <si>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</si>
  <si>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</si>
  <si>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</si>
  <si>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</si>
  <si>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</si>
  <si>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</si>
  <si>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</si>
  <si>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</si>
  <si>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</si>
  <si>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</si>
  <si>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</si>
  <si>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</si>
  <si>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</si>
  <si>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</si>
  <si>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</si>
  <si>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</si>
  <si>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</si>
  <si>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</si>
  <si>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</si>
  <si>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</si>
  <si>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</si>
  <si>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</si>
  <si>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</si>
  <si>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</si>
  <si>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</si>
  <si>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</si>
  <si>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</si>
  <si>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</si>
  <si>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</si>
  <si>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</si>
  <si>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</si>
  <si>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</si>
  <si>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</si>
  <si>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</si>
  <si>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</si>
  <si>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</si>
  <si>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</si>
  <si>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</si>
  <si>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</si>
  <si>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</si>
  <si>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</si>
  <si>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</si>
  <si>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</si>
  <si>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</si>
  <si>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</si>
  <si>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</si>
  <si>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</si>
  <si>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</si>
  <si>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</si>
  <si>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</si>
  <si>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</si>
  <si>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</si>
  <si>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</si>
  <si>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</si>
  <si>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</si>
  <si>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</si>
  <si>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</si>
  <si>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</si>
  <si>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</si>
  <si>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</si>
  <si>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</si>
  <si>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</si>
  <si>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</si>
  <si>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</si>
  <si>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</si>
  <si>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</si>
  <si>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</si>
  <si>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</si>
  <si>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</si>
  <si>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</si>
  <si>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</si>
  <si>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</si>
  <si>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</si>
  <si>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</si>
  <si>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</si>
  <si>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</si>
  <si>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</si>
  <si>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</si>
  <si>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</si>
  <si>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</si>
  <si>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</si>
  <si>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</si>
  <si>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</si>
  <si>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</si>
  <si>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</si>
  <si>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</si>
  <si>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</si>
  <si>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</si>
  <si>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</si>
  <si>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</si>
  <si>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</si>
  <si>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</si>
  <si>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</si>
  <si>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</si>
  <si>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</si>
  <si>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</si>
  <si>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</si>
  <si>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</si>
  <si>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</si>
  <si>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</si>
  <si>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</si>
  <si>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</si>
  <si>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</si>
  <si>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</si>
  <si>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</si>
  <si>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</si>
  <si>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</si>
  <si>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</si>
  <si>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</si>
  <si>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</si>
  <si>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</si>
  <si>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</si>
  <si>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</si>
  <si>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</si>
  <si>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</si>
  <si>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</si>
  <si>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</si>
  <si>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</si>
  <si>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</si>
  <si>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</si>
  <si>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</si>
  <si>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</si>
  <si>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</si>
  <si>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</si>
  <si>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</si>
  <si>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</si>
  <si>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</si>
  <si>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</si>
  <si>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</si>
  <si>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</si>
  <si>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</si>
  <si>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</si>
  <si>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</si>
  <si>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</si>
  <si>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</si>
  <si>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</si>
  <si>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</si>
  <si>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</si>
  <si>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</si>
  <si>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</si>
  <si>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</si>
  <si>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</si>
  <si>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</si>
  <si>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</si>
  <si>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</si>
  <si>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</si>
  <si>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</si>
  <si>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</si>
  <si>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</si>
  <si>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</si>
  <si>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</si>
  <si>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</si>
  <si>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</si>
  <si>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</si>
  <si>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</si>
  <si>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</si>
  <si>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</si>
  <si>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</si>
  <si>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</si>
  <si>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</si>
  <si>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</si>
  <si>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</si>
  <si>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</si>
  <si>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</si>
  <si>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</si>
  <si>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</si>
  <si>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</si>
  <si>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</si>
  <si>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</si>
  <si>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</si>
  <si>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</si>
  <si>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</si>
  <si>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</si>
  <si>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</si>
  <si>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</si>
  <si>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</si>
  <si>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</si>
  <si>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</si>
  <si>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</si>
  <si>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</si>
  <si>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</si>
  <si>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</si>
  <si>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</si>
  <si>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</si>
  <si>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</si>
  <si>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</si>
  <si>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</si>
  <si>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</si>
  <si>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</si>
  <si>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</si>
  <si>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</si>
  <si>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</si>
  <si>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</si>
  <si>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</si>
  <si>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</si>
  <si>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</si>
  <si>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</si>
  <si>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</si>
  <si>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</si>
  <si>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</si>
  <si>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</si>
  <si>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</si>
  <si>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</si>
  <si>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</si>
  <si>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</si>
  <si>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</si>
  <si>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</si>
  <si>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</si>
  <si>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</si>
  <si>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</si>
  <si>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</si>
  <si>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</si>
  <si>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</si>
  <si>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</si>
  <si>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</si>
  <si>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</si>
  <si>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</si>
  <si>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</si>
  <si>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</si>
  <si>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</si>
  <si>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</si>
  <si>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</si>
  <si>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</si>
  <si>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</si>
  <si>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</si>
  <si>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</si>
  <si>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</si>
  <si>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</si>
  <si>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</si>
  <si>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</si>
  <si>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</si>
  <si>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</si>
  <si>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</si>
  <si>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</si>
  <si>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</si>
  <si>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</si>
  <si>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</si>
  <si>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</si>
  <si>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</si>
  <si>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</si>
  <si>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</si>
  <si>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</si>
  <si>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</si>
  <si>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</si>
  <si>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</si>
  <si>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</si>
  <si>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</si>
  <si>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</si>
  <si>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</si>
  <si>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</si>
  <si>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</si>
  <si>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</si>
  <si>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</si>
  <si>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</si>
  <si>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</si>
  <si>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</si>
  <si>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</si>
  <si>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</si>
  <si>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</si>
  <si>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</si>
  <si>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</si>
  <si>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</si>
  <si>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</si>
  <si>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</si>
  <si>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</si>
  <si>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</si>
  <si>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</si>
  <si>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</si>
  <si>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</si>
  <si>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</si>
  <si>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</si>
  <si>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</si>
  <si>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</si>
  <si>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</si>
  <si>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</si>
  <si>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</si>
  <si>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</si>
  <si>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</si>
  <si>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</si>
  <si>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</si>
  <si>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</si>
  <si>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</si>
  <si>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</si>
  <si>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</si>
  <si>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</si>
  <si>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</si>
  <si>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</si>
  <si>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</si>
  <si>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</si>
  <si>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</si>
  <si>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</si>
  <si>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</si>
  <si>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</si>
  <si>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</si>
  <si>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</si>
  <si>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</si>
  <si>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</si>
  <si>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</si>
  <si>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</si>
  <si>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</si>
  <si>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</si>
  <si>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</si>
  <si>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</si>
  <si>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</si>
  <si>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</si>
  <si>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</si>
  <si>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</si>
  <si>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</si>
  <si>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</si>
  <si>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</si>
  <si>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</si>
  <si>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</si>
  <si>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</si>
  <si>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</si>
  <si>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</si>
  <si>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</si>
  <si>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</si>
  <si>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</si>
  <si>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</si>
  <si>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</si>
  <si>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</si>
  <si>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</si>
  <si>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</si>
  <si>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</si>
  <si>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</si>
  <si>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</si>
  <si>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</si>
  <si>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</si>
  <si>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</si>
  <si>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</si>
  <si>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</si>
  <si>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</si>
  <si>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</si>
  <si>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</si>
  <si>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</si>
  <si>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</si>
  <si>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</si>
  <si>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</si>
  <si>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</si>
  <si>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</si>
  <si>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</si>
  <si>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</si>
  <si>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</si>
  <si>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</si>
  <si>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</si>
  <si>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</si>
  <si>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</si>
  <si>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</si>
  <si>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</si>
  <si>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</si>
  <si>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</si>
  <si>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</si>
  <si>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</si>
  <si>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</si>
  <si>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</si>
  <si>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</si>
  <si>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</si>
  <si>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</si>
  <si>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</si>
  <si>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</si>
  <si>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</si>
  <si>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</si>
  <si>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</si>
  <si>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</si>
  <si>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</si>
  <si>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</si>
  <si>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</si>
  <si>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</si>
  <si>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</si>
  <si>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</si>
  <si>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</si>
  <si>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</si>
  <si>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</si>
  <si>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</si>
  <si>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</si>
  <si>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</si>
  <si>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</si>
  <si>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</si>
  <si>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</si>
  <si>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</si>
  <si>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</si>
  <si>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</si>
  <si>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</si>
  <si>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</si>
  <si>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</si>
  <si>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</si>
  <si>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</si>
  <si>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</si>
  <si>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</si>
  <si>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</si>
  <si>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</si>
  <si>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</si>
  <si>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</si>
  <si>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</si>
  <si>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</si>
  <si>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</si>
  <si>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</si>
  <si>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</si>
  <si>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</si>
  <si>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</si>
  <si>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</si>
  <si>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</si>
  <si>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</si>
  <si>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</si>
  <si>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</si>
  <si>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</si>
  <si>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</si>
  <si>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</si>
  <si>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</si>
  <si>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</si>
  <si>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</si>
  <si>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</si>
  <si>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</si>
  <si>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</si>
  <si>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</si>
  <si>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</si>
  <si>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</si>
  <si>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</si>
  <si>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</si>
  <si>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</si>
  <si>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</si>
  <si>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</si>
  <si>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</si>
  <si>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</si>
  <si>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</si>
  <si>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</si>
  <si>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</si>
  <si>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</si>
  <si>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</si>
  <si>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</si>
  <si>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</si>
  <si>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</si>
  <si>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</si>
  <si>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</si>
  <si>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</si>
  <si>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</si>
  <si>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</si>
  <si>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</si>
  <si>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</si>
  <si>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</si>
  <si>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</si>
  <si>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</si>
  <si>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</si>
  <si>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</si>
  <si>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</si>
  <si>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</si>
  <si>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</si>
  <si>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</si>
  <si>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</si>
  <si>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</si>
  <si>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</si>
  <si>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</si>
  <si>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</si>
  <si>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</si>
  <si>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</si>
  <si>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</si>
  <si>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</si>
  <si>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</si>
  <si>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</si>
  <si>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</si>
  <si>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</si>
  <si>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</si>
  <si>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</si>
  <si>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</si>
  <si>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</si>
  <si>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</si>
  <si>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</si>
  <si>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</si>
  <si>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</si>
  <si>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</si>
  <si>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</si>
  <si>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</si>
  <si>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</si>
  <si>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</si>
  <si>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</si>
  <si>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</si>
  <si>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</si>
  <si>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</si>
  <si>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</si>
  <si>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</si>
  <si>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</si>
  <si>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</si>
  <si>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</si>
  <si>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</si>
  <si>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</si>
  <si>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</si>
  <si>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</si>
  <si>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</si>
  <si>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</si>
  <si>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</si>
  <si>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</si>
  <si>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</si>
  <si>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</si>
  <si>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</si>
  <si>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</si>
  <si>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</si>
  <si>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</si>
  <si>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</si>
  <si>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</si>
  <si>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</si>
  <si>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</si>
  <si>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</si>
  <si>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</si>
  <si>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</si>
  <si>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</si>
  <si>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</si>
  <si>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</si>
  <si>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</si>
  <si>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</si>
  <si>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</si>
  <si>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</si>
  <si>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</si>
  <si>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</si>
  <si>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</si>
  <si>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</si>
  <si>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</si>
  <si>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</si>
  <si>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</si>
  <si>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</si>
  <si>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</si>
  <si>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</si>
  <si>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</si>
  <si>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</si>
  <si>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</si>
  <si>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</si>
  <si>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</si>
  <si>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</si>
  <si>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</si>
  <si>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</si>
  <si>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</si>
  <si>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</si>
  <si>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</si>
  <si>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</si>
  <si>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</si>
  <si>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</si>
  <si>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</si>
  <si>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</si>
  <si>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</si>
  <si>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</si>
  <si>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</si>
  <si>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</si>
  <si>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</si>
  <si>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</si>
  <si>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</si>
  <si>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</si>
  <si>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</si>
  <si>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</si>
  <si>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</si>
  <si>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</si>
  <si>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</si>
  <si>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</si>
  <si>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</si>
  <si>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</si>
  <si>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</si>
  <si>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</si>
  <si>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</si>
  <si>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</si>
  <si>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</si>
  <si>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</si>
  <si>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</si>
  <si>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</si>
  <si>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</si>
  <si>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</si>
  <si>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</si>
  <si>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</si>
  <si>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</si>
  <si>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</si>
  <si>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</si>
  <si>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</si>
  <si>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</si>
  <si>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</si>
  <si>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</si>
  <si>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</si>
  <si>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</si>
  <si>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</si>
  <si>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</si>
  <si>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</si>
  <si>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</si>
  <si>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</si>
  <si>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</si>
  <si>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</si>
  <si>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</si>
  <si>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</si>
  <si>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</si>
  <si>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</si>
  <si>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</si>
  <si>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</si>
  <si>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</si>
  <si>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</si>
  <si>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</si>
  <si>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</si>
  <si>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</si>
  <si>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</si>
  <si>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</si>
  <si>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</si>
  <si>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</si>
  <si>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</si>
  <si>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</si>
  <si>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</si>
  <si>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</si>
  <si>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</si>
  <si>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</si>
  <si>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</si>
  <si>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</si>
  <si>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</si>
  <si>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</si>
  <si>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</si>
  <si>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</si>
  <si>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</si>
  <si>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</si>
  <si>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</si>
  <si>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</si>
  <si>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</si>
  <si>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</si>
  <si>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</si>
  <si>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</si>
  <si>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</si>
  <si>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</si>
  <si>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</si>
  <si>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</si>
  <si>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</si>
  <si>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</si>
  <si>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</si>
  <si>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</si>
  <si>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</si>
  <si>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</si>
  <si>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</si>
  <si>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</si>
  <si>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</si>
  <si>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</si>
  <si>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</si>
  <si>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</si>
  <si>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</si>
  <si>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</si>
  <si>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</si>
  <si>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</si>
  <si>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</si>
  <si>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</si>
  <si>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</si>
  <si>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</si>
  <si>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</si>
  <si>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</si>
  <si>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</si>
  <si>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</si>
  <si>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</si>
  <si>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</si>
  <si>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</si>
  <si>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</si>
  <si>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</si>
  <si>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</si>
  <si>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</si>
  <si>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</si>
  <si>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</si>
  <si>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</si>
  <si>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</si>
  <si>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</si>
  <si>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</si>
  <si>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</si>
  <si>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</si>
  <si>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</si>
  <si>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</si>
  <si>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</si>
  <si>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</si>
  <si>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</si>
  <si>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</si>
  <si>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</si>
  <si>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</si>
  <si>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</si>
  <si>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</si>
  <si>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</si>
  <si>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</si>
  <si>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</si>
  <si>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</si>
  <si>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</si>
  <si>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</si>
  <si>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</si>
  <si>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</si>
  <si>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</si>
  <si>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</si>
  <si>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</si>
  <si>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</si>
  <si>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</si>
  <si>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</si>
  <si>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</si>
  <si>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</si>
  <si>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</si>
  <si>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</si>
  <si>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</si>
  <si>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</si>
  <si>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</si>
  <si>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</si>
  <si>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</si>
  <si>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</si>
  <si>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</si>
  <si>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</si>
  <si>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</si>
  <si>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</si>
  <si>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</si>
  <si>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</si>
  <si>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</si>
  <si>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</si>
  <si>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</si>
  <si>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</si>
  <si>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</si>
  <si>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</si>
  <si>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</si>
  <si>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</si>
  <si>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</si>
  <si>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</si>
  <si>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</si>
  <si>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</si>
  <si>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</si>
  <si>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</si>
  <si>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</si>
  <si>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</si>
  <si>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</si>
  <si>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</si>
  <si>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</si>
  <si>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</si>
  <si>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</si>
  <si>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</si>
  <si>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</si>
  <si>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</si>
  <si>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</si>
  <si>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</si>
  <si>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</si>
  <si>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</si>
  <si>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</si>
  <si>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</si>
  <si>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</si>
  <si>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</si>
  <si>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</si>
  <si>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</si>
  <si>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</si>
  <si>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</si>
  <si>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</si>
  <si>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</si>
  <si>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</si>
  <si>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</si>
  <si>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</si>
  <si>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</si>
  <si>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</si>
  <si>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</si>
  <si>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</si>
  <si>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</si>
  <si>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</si>
  <si>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</si>
  <si>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</si>
  <si>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</si>
  <si>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</si>
  <si>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</si>
  <si>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</si>
  <si>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</si>
  <si>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</si>
  <si>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</si>
  <si>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</si>
  <si>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</si>
  <si>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</si>
  <si>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</si>
  <si>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</si>
  <si>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</si>
  <si>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</si>
  <si>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</si>
  <si>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</si>
  <si>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</si>
  <si>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</si>
  <si>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</si>
  <si>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</si>
  <si>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</si>
  <si>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</si>
  <si>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</si>
  <si>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</si>
  <si>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</si>
  <si>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</si>
  <si>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</si>
  <si>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</si>
  <si>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</si>
  <si>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</si>
  <si>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</si>
  <si>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</si>
  <si>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</si>
  <si>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</si>
  <si>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</si>
  <si>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</si>
  <si>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</si>
  <si>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</si>
  <si>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</si>
  <si>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</si>
  <si>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</si>
  <si>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</si>
  <si>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</si>
  <si>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</si>
  <si>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</si>
  <si>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</si>
  <si>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</si>
  <si>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</si>
  <si>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</si>
  <si>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</si>
  <si>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</si>
  <si>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</si>
  <si>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</si>
  <si>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</si>
  <si>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</si>
  <si>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</si>
  <si>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</si>
  <si>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</si>
  <si>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</si>
  <si>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</si>
  <si>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</si>
  <si>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</si>
  <si>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</si>
  <si>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</si>
  <si>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</si>
  <si>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</si>
  <si>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</si>
  <si>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</si>
  <si>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</si>
  <si>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</si>
  <si>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</si>
  <si>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</si>
  <si>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</si>
  <si>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</si>
  <si>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</si>
  <si>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</si>
  <si>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</si>
  <si>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</si>
  <si>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</si>
  <si>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</si>
  <si>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</si>
  <si>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</si>
  <si>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</si>
  <si>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</si>
  <si>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</si>
  <si>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</si>
  <si>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</si>
  <si>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</si>
  <si>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</si>
  <si>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</si>
  <si>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</si>
  <si>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</si>
  <si>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</si>
  <si>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</si>
  <si>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</si>
  <si>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</si>
  <si>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</si>
  <si>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</si>
  <si>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</si>
  <si>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</si>
  <si>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</si>
  <si>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</si>
  <si>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</si>
  <si>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</si>
  <si>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</si>
  <si>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</si>
  <si>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</si>
  <si>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</si>
  <si>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</si>
  <si>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</si>
  <si>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</si>
  <si>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</si>
  <si>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</si>
  <si>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</si>
  <si>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</si>
  <si>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</si>
  <si>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</si>
  <si>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</si>
  <si>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</si>
  <si>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</si>
  <si>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</si>
  <si>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</si>
  <si>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</si>
  <si>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</si>
  <si>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</si>
  <si>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</si>
  <si>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</si>
  <si>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</si>
  <si>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</si>
  <si>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</si>
  <si>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</si>
  <si>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</si>
  <si>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</si>
  <si>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</si>
  <si>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</si>
  <si>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</si>
  <si>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</si>
  <si>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</si>
  <si>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</si>
  <si>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</si>
  <si>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</si>
  <si>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</si>
  <si>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</si>
  <si>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</si>
  <si>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</si>
  <si>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</si>
  <si>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</si>
  <si>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</si>
  <si>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</si>
  <si>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</si>
  <si>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</si>
  <si>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</si>
  <si>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</si>
  <si>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</si>
  <si>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</si>
  <si>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</si>
  <si>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</si>
  <si>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</si>
  <si>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</si>
  <si>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</si>
  <si>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</si>
  <si>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</si>
  <si>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</si>
  <si>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</si>
  <si>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</si>
  <si>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</si>
  <si>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</si>
  <si>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</si>
  <si>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</si>
  <si>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</si>
  <si>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</si>
  <si>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</si>
  <si>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</si>
  <si>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</si>
  <si>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</si>
  <si>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</si>
  <si>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</si>
  <si>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</si>
  <si>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</si>
  <si>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</si>
  <si>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</si>
  <si>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</si>
  <si>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</si>
  <si>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</si>
  <si>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</si>
  <si>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</si>
  <si>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</si>
  <si>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</si>
  <si>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</si>
  <si>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</si>
  <si>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</si>
  <si>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</si>
  <si>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</si>
  <si>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</si>
  <si>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</si>
  <si>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</si>
  <si>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</si>
  <si>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</si>
  <si>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</si>
  <si>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</si>
  <si>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</si>
  <si>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</si>
  <si>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</si>
  <si>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</si>
  <si>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</si>
  <si>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</si>
  <si>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</si>
  <si>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</si>
  <si>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</si>
  <si>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</si>
  <si>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</si>
  <si>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</si>
  <si>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</si>
  <si>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</si>
  <si>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</si>
  <si>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</si>
  <si>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</si>
  <si>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</si>
  <si>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</si>
  <si>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</si>
  <si>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</si>
  <si>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</si>
  <si>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</si>
  <si>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</si>
  <si>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</si>
  <si>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</si>
  <si>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</si>
  <si>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</si>
  <si>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</si>
  <si>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</si>
  <si>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</si>
  <si>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</si>
  <si>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</si>
  <si>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</si>
  <si>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</si>
  <si>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</si>
  <si>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</si>
  <si>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</si>
  <si>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</si>
  <si>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</si>
  <si>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</si>
  <si>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</si>
  <si>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</si>
  <si>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</si>
  <si>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</si>
  <si>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</si>
  <si>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</si>
  <si>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</si>
  <si>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</si>
  <si>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</si>
  <si>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</si>
  <si>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</si>
  <si>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</si>
  <si>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</si>
  <si>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</si>
  <si>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</si>
  <si>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</si>
  <si>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</si>
  <si>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</si>
  <si>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</si>
  <si>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</si>
  <si>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</si>
  <si>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</si>
  <si>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</si>
  <si>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</si>
  <si>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</si>
  <si>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</si>
  <si>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</si>
  <si>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</si>
  <si>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</si>
  <si>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</si>
  <si>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</si>
  <si>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</si>
  <si>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</si>
  <si>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</si>
  <si>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</si>
  <si>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</si>
  <si>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</si>
  <si>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</si>
  <si>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</si>
  <si>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</si>
  <si>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</si>
  <si>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</si>
  <si>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</si>
  <si>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</si>
  <si>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</si>
  <si>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</si>
  <si>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</si>
  <si>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</si>
  <si>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</si>
  <si>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</si>
  <si>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</si>
  <si>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</si>
  <si>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</si>
  <si>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</si>
  <si>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</si>
  <si>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</si>
  <si>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</si>
  <si>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</si>
  <si>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</si>
  <si>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</si>
  <si>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</si>
  <si>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</si>
  <si>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</si>
  <si>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</si>
  <si>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</si>
  <si>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</si>
  <si>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</si>
  <si>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</si>
  <si>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</si>
  <si>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</si>
  <si>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</si>
  <si>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</si>
  <si>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</si>
  <si>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</si>
  <si>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</si>
  <si>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</si>
  <si>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</si>
  <si>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</si>
  <si>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</si>
  <si>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</si>
  <si>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</si>
  <si>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</si>
  <si>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</si>
  <si>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</si>
  <si>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</si>
  <si>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</si>
  <si>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</si>
  <si>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</si>
  <si>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</si>
  <si>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</si>
  <si>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</si>
  <si>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</si>
  <si>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</si>
  <si>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</si>
  <si>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</si>
  <si>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</si>
  <si>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</si>
  <si>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</si>
  <si>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</si>
  <si>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</si>
  <si>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</si>
  <si>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</si>
  <si>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</si>
  <si>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</si>
  <si>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</si>
  <si>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</si>
  <si>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</si>
  <si>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</si>
  <si>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</si>
  <si>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</si>
  <si>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</si>
  <si>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</si>
  <si>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</si>
  <si>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</si>
  <si>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</si>
  <si>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</si>
  <si>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</si>
  <si>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</si>
  <si>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</si>
  <si>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</si>
  <si>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</si>
  <si>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</si>
  <si>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</si>
  <si>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</si>
  <si>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</si>
  <si>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</si>
  <si>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</si>
  <si>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</si>
  <si>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</si>
  <si>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</si>
  <si>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</si>
  <si>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</si>
  <si>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</si>
  <si>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</si>
  <si>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</si>
  <si>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</si>
  <si>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</si>
  <si>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</si>
  <si>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</si>
  <si>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</si>
  <si>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</si>
  <si>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</si>
  <si>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</si>
  <si>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</si>
  <si>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</si>
  <si>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</si>
  <si>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</si>
  <si>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</si>
  <si>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</si>
  <si>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</si>
  <si>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</si>
  <si>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</si>
  <si>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</si>
  <si>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</si>
  <si>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</si>
  <si>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</si>
  <si>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</si>
  <si>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</si>
  <si>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</si>
  <si>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</si>
  <si>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</si>
  <si>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</si>
  <si>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</si>
  <si>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</si>
  <si>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</si>
  <si>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</si>
  <si>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</si>
  <si>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</si>
  <si>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</si>
  <si>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</si>
  <si>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</si>
  <si>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</si>
  <si>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</si>
  <si>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</si>
  <si>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</si>
  <si>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</si>
  <si>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</si>
  <si>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</si>
  <si>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</si>
  <si>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</si>
  <si>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</si>
  <si>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</si>
  <si>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</si>
  <si>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</si>
  <si>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</si>
  <si>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</si>
  <si>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</si>
  <si>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</si>
  <si>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</si>
  <si>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</si>
  <si>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</si>
  <si>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</si>
  <si>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</si>
  <si>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</si>
  <si>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</si>
  <si>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</si>
  <si>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</si>
  <si>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</si>
  <si>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</si>
  <si>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</si>
  <si>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</si>
  <si>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</si>
  <si>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</si>
  <si>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</si>
  <si>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</si>
  <si>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</si>
  <si>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</si>
  <si>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</si>
  <si>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</si>
  <si>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</si>
  <si>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</si>
  <si>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</si>
  <si>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</si>
  <si>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</si>
  <si>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</si>
  <si>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</si>
  <si>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</si>
  <si>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</si>
  <si>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</si>
  <si>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</si>
  <si>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</si>
  <si>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</si>
  <si>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</si>
  <si>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</si>
  <si>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</si>
  <si>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</si>
  <si>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</si>
  <si>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</si>
  <si>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</si>
  <si>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</si>
  <si>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</si>
  <si>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</si>
  <si>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</si>
  <si>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</si>
  <si>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</si>
  <si>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</si>
  <si>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</si>
  <si>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</si>
  <si>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</si>
  <si>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</si>
  <si>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</si>
  <si>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</si>
  <si>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</si>
  <si>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</si>
  <si>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</si>
  <si>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</si>
  <si>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</si>
  <si>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</si>
  <si>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</si>
  <si>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</si>
  <si>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</si>
  <si>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</si>
  <si>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</si>
  <si>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</si>
  <si>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</si>
  <si>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</si>
  <si>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</si>
  <si>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</si>
  <si>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</si>
  <si>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</si>
  <si>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</si>
  <si>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</si>
  <si>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</si>
  <si>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</si>
  <si>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</si>
  <si>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</si>
  <si>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</si>
  <si>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</si>
  <si>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</si>
  <si>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</si>
  <si>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</si>
  <si>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</si>
  <si>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</si>
  <si>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</si>
  <si>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</si>
  <si>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</si>
  <si>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</si>
  <si>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</si>
  <si>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</si>
  <si>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</si>
  <si>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</si>
  <si>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</si>
  <si>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</si>
  <si>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</si>
  <si>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</si>
  <si>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</si>
  <si>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</si>
  <si>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</si>
  <si>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</si>
  <si>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</si>
  <si>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</si>
  <si>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</si>
  <si>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</si>
  <si>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</si>
  <si>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</si>
  <si>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</si>
  <si>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</si>
  <si>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</si>
  <si>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</si>
  <si>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</si>
  <si>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</si>
  <si>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</si>
  <si>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</si>
  <si>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</si>
  <si>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</si>
  <si>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</si>
  <si>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</si>
  <si>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</si>
  <si>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</si>
  <si>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</si>
  <si>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</si>
  <si>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</si>
  <si>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</si>
  <si>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</si>
  <si>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</si>
  <si>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</si>
  <si>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</si>
  <si>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</si>
  <si>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</si>
  <si>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</si>
  <si>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</si>
  <si>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</si>
  <si>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</si>
  <si>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</si>
  <si>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</si>
  <si>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</si>
  <si>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</si>
  <si>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</si>
  <si>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</si>
  <si>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</si>
  <si>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</si>
  <si>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</si>
  <si>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</si>
  <si>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</si>
  <si>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</si>
  <si>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</si>
  <si>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</si>
  <si>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</si>
  <si>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</si>
  <si>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</si>
  <si>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</si>
  <si>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</si>
  <si>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</si>
  <si>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</si>
  <si>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</si>
  <si>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</si>
  <si>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</si>
  <si>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</si>
  <si>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</si>
  <si>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</si>
  <si>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</si>
  <si>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</si>
  <si>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</si>
  <si>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</si>
  <si>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</si>
  <si>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</si>
  <si>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</si>
  <si>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</si>
  <si>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</si>
  <si>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</si>
  <si>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</si>
  <si>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</si>
  <si>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</si>
  <si>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</si>
  <si>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</si>
  <si>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</si>
  <si>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</si>
  <si>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</si>
  <si>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</si>
  <si>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</si>
  <si>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</si>
  <si>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</si>
  <si>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</si>
  <si>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</si>
  <si>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</si>
  <si>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</si>
  <si>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</si>
  <si>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</si>
  <si>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</si>
  <si>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</si>
  <si>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</si>
  <si>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</si>
  <si>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</si>
  <si>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</si>
  <si>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</si>
  <si>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</si>
  <si>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</si>
  <si>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</si>
  <si>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</si>
  <si>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</si>
  <si>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</si>
  <si>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</si>
  <si>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</si>
  <si>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</si>
  <si>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</si>
  <si>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</si>
  <si>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</si>
  <si>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</si>
  <si>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</si>
  <si>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</si>
  <si>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</si>
  <si>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</si>
  <si>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</si>
  <si>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</si>
  <si>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</si>
  <si>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</si>
  <si>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</si>
  <si>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</si>
  <si>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</si>
  <si>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</si>
  <si>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</si>
  <si>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</si>
  <si>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</si>
  <si>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</si>
  <si>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</si>
  <si>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</si>
  <si>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</si>
  <si>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</si>
  <si>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</si>
  <si>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</si>
  <si>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</si>
  <si>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</si>
  <si>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</si>
  <si>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</si>
  <si>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</si>
  <si>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</si>
  <si>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</si>
  <si>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</si>
  <si>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</si>
  <si>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</si>
  <si>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</si>
  <si>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</si>
  <si>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</si>
  <si>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</si>
  <si>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</si>
  <si>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</si>
  <si>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</si>
  <si>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</si>
  <si>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</si>
  <si>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</si>
  <si>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</si>
  <si>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</si>
  <si>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</si>
  <si>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</si>
  <si>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</si>
  <si>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</si>
  <si>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</si>
  <si>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</si>
  <si>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</si>
  <si>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</si>
  <si>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</si>
  <si>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</si>
  <si>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</si>
  <si>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</si>
  <si>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</si>
  <si>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</si>
  <si>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</si>
  <si>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</si>
  <si>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</si>
  <si>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</si>
  <si>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</si>
  <si>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</si>
  <si>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</si>
  <si>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</si>
  <si>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</si>
  <si>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</si>
  <si>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</si>
  <si>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</si>
  <si>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</si>
  <si>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</si>
  <si>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</si>
  <si>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</si>
  <si>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</si>
  <si>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</si>
  <si>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</si>
  <si>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</si>
  <si>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</si>
  <si>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</si>
  <si>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</si>
  <si>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</si>
  <si>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</si>
  <si>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</si>
  <si>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</si>
  <si>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</si>
  <si>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</si>
  <si>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</si>
  <si>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</si>
  <si>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</si>
  <si>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</si>
  <si>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</si>
  <si>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</si>
  <si>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</si>
  <si>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</si>
  <si>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</si>
  <si>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</si>
  <si>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</si>
  <si>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</si>
  <si>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</si>
  <si>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</si>
  <si>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</si>
  <si>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</si>
  <si>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</si>
  <si>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</si>
  <si>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</si>
  <si>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</si>
  <si>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</si>
  <si>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</si>
  <si>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</si>
  <si>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</si>
  <si>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</si>
  <si>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</si>
  <si>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</si>
  <si>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</si>
  <si>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</si>
  <si>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</si>
  <si>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</si>
  <si>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</si>
  <si>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</si>
  <si>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</si>
  <si>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</si>
  <si>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</si>
  <si>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</si>
  <si>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</si>
  <si>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</si>
  <si>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</si>
  <si>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</si>
  <si>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</si>
  <si>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</si>
  <si>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</si>
  <si>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</si>
  <si>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</si>
  <si>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</si>
  <si>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</si>
  <si>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</si>
  <si>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</si>
  <si>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</si>
  <si>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</si>
  <si>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</si>
  <si>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</si>
  <si>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</si>
  <si>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</si>
  <si>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</si>
  <si>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</si>
  <si>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</si>
  <si>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</si>
  <si>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</si>
  <si>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</si>
  <si>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</si>
  <si>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</si>
  <si>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</si>
  <si>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</si>
  <si>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</si>
  <si>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</si>
  <si>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</si>
  <si>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</si>
  <si>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</si>
  <si>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</si>
  <si>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</si>
  <si>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</si>
  <si>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</si>
  <si>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</si>
  <si>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</si>
  <si>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</si>
  <si>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</si>
  <si>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</si>
  <si>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</si>
  <si>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</si>
  <si>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</si>
  <si>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</si>
  <si>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</si>
  <si>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</si>
  <si>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</si>
  <si>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</si>
  <si>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</si>
  <si>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</si>
  <si>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</si>
  <si>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</si>
  <si>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</si>
  <si>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</si>
  <si>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</si>
  <si>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</si>
  <si>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</si>
  <si>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</si>
  <si>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</si>
  <si>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</si>
  <si>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</si>
  <si>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</si>
  <si>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</si>
  <si>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</si>
  <si>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</si>
  <si>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</si>
  <si>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</si>
  <si>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</si>
  <si>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</si>
  <si>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</si>
  <si>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</si>
  <si>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</si>
  <si>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</si>
  <si>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</si>
  <si>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</si>
  <si>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</si>
  <si>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</si>
  <si>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</si>
  <si>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</si>
  <si>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</si>
  <si>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</si>
  <si>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</si>
  <si>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</si>
  <si>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</si>
  <si>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</si>
  <si>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</si>
  <si>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</si>
  <si>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</si>
  <si>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</si>
  <si>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</si>
  <si>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</si>
  <si>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</si>
  <si>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</si>
  <si>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</si>
  <si>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</si>
  <si>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</si>
  <si>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</si>
  <si>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</si>
  <si>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</si>
  <si>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</si>
  <si>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</si>
  <si>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</si>
  <si>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</si>
  <si>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</si>
  <si>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</si>
  <si>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</si>
  <si>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</si>
  <si>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</si>
  <si>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</si>
  <si>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</si>
  <si>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</si>
  <si>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</si>
  <si>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</si>
  <si>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</si>
  <si>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</si>
  <si>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</si>
  <si>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</si>
  <si>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</si>
  <si>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</si>
  <si>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</si>
  <si>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</si>
  <si>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</si>
  <si>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</si>
  <si>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</si>
  <si>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</si>
  <si>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</si>
  <si>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</si>
  <si>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</si>
  <si>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</si>
  <si>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</si>
  <si>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</si>
  <si>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</si>
  <si>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</si>
  <si>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</si>
  <si>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</si>
  <si>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</si>
  <si>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</si>
  <si>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</si>
  <si>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</si>
  <si>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</si>
  <si>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</si>
  <si>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</si>
  <si>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</si>
  <si>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</si>
  <si>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</si>
  <si>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</si>
  <si>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</si>
  <si>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</si>
  <si>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</si>
  <si>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</si>
  <si>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</si>
  <si>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</si>
  <si>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</si>
  <si>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</si>
  <si>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</si>
  <si>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</si>
  <si>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</si>
  <si>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</si>
  <si>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</si>
  <si>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</si>
  <si>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</si>
  <si>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</si>
  <si>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</si>
  <si>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</si>
  <si>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</si>
  <si>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</si>
  <si>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</si>
  <si>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</si>
  <si>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</si>
  <si>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</si>
  <si>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</si>
  <si>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</si>
  <si>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</si>
  <si>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</si>
  <si>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</si>
  <si>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</si>
  <si>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</si>
  <si>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</si>
  <si>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</si>
  <si>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</si>
  <si>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</si>
  <si>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</si>
  <si>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</si>
  <si>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</si>
  <si>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</si>
  <si>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</si>
  <si>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</si>
  <si>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</si>
  <si>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</si>
  <si>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</si>
  <si>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</si>
  <si>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</si>
  <si>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</si>
  <si>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</si>
  <si>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</si>
  <si>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</si>
  <si>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</si>
  <si>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</si>
  <si>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</si>
  <si>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</si>
  <si>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</si>
  <si>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</si>
  <si>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</si>
  <si>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</si>
  <si>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</si>
  <si>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</si>
  <si>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</si>
  <si>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</si>
  <si>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</si>
  <si>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</si>
  <si>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</si>
  <si>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</si>
  <si>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</si>
  <si>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</si>
  <si>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</si>
  <si>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</si>
  <si>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</si>
  <si>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</si>
  <si>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</si>
  <si>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</si>
  <si>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</si>
  <si>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</si>
  <si>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</si>
  <si>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</si>
  <si>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</si>
  <si>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</si>
  <si>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</si>
  <si>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</si>
  <si>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</si>
  <si>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</si>
  <si>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</si>
  <si>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</si>
  <si>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</si>
  <si>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</si>
  <si>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</si>
  <si>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</si>
  <si>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</si>
  <si>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</si>
  <si>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</si>
  <si>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</si>
  <si>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</si>
  <si>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</si>
  <si>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</si>
  <si>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</si>
  <si>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</si>
  <si>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</si>
  <si>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</si>
  <si>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</si>
  <si>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</si>
  <si>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</si>
  <si>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</si>
  <si>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</si>
  <si>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</si>
  <si>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</si>
  <si>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</si>
  <si>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</si>
  <si>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</si>
  <si>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</si>
  <si>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</si>
  <si>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</si>
  <si>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</si>
  <si>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</si>
  <si>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</si>
  <si>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</si>
  <si>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</si>
  <si>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</si>
  <si>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</si>
  <si>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</si>
  <si>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</si>
  <si>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</si>
  <si>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</si>
  <si>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</si>
  <si>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</si>
  <si>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</si>
  <si>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</si>
  <si>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</si>
  <si>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</si>
  <si>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</si>
  <si>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</si>
  <si>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</si>
  <si>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</si>
  <si>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</si>
  <si>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</si>
  <si>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</si>
  <si>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</si>
  <si>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</si>
  <si>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</si>
  <si>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</si>
  <si>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</si>
  <si>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</si>
  <si>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</si>
  <si>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</si>
  <si>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</si>
  <si>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</si>
  <si>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</si>
  <si>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</si>
  <si>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</si>
  <si>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</si>
  <si>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</si>
  <si>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</si>
  <si>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</si>
  <si>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</si>
  <si>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</si>
  <si>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</si>
  <si>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</si>
  <si>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</si>
  <si>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</si>
  <si>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</si>
  <si>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</si>
  <si>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</si>
  <si>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</si>
  <si>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</si>
  <si>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</si>
  <si>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</si>
  <si>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</si>
  <si>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</si>
  <si>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</si>
  <si>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</si>
  <si>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</si>
  <si>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</si>
  <si>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</si>
  <si>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</si>
  <si>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</si>
  <si>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</si>
  <si>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</si>
  <si>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</si>
  <si>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</si>
  <si>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</si>
  <si>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</si>
  <si>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</si>
  <si>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</si>
  <si>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</si>
  <si>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</si>
  <si>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</si>
  <si>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</si>
  <si>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</si>
  <si>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</si>
  <si>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</si>
  <si>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</si>
  <si>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</si>
  <si>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</si>
  <si>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</si>
  <si>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</si>
  <si>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</si>
  <si>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</si>
  <si>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</si>
  <si>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</si>
  <si>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</si>
  <si>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</si>
  <si>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</si>
  <si>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</si>
  <si>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</si>
  <si>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</si>
  <si>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</si>
  <si>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</si>
  <si>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</si>
  <si>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</si>
  <si>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</si>
  <si>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</si>
  <si>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</si>
  <si>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</si>
  <si>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</si>
  <si>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</si>
  <si>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</si>
  <si>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</si>
  <si>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</si>
  <si>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</si>
  <si>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</si>
  <si>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</si>
  <si>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</si>
  <si>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</si>
  <si>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</si>
  <si>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</si>
  <si>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</si>
  <si>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</si>
  <si>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</si>
  <si>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</si>
  <si>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</si>
  <si>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</si>
  <si>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</si>
  <si>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</si>
  <si>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</si>
  <si>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</si>
  <si>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</si>
  <si>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</si>
  <si>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</si>
  <si>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</si>
  <si>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</si>
  <si>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</si>
  <si>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</si>
  <si>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</si>
  <si>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</si>
  <si>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</si>
  <si>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</si>
  <si>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</si>
  <si>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</si>
  <si>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</si>
  <si>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</si>
  <si>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</si>
  <si>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</si>
  <si>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</si>
  <si>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</si>
  <si>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</si>
  <si>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</si>
  <si>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</si>
  <si>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</si>
  <si>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</si>
  <si>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</si>
  <si>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</si>
  <si>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</si>
  <si>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</si>
  <si>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</si>
  <si>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</si>
  <si>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</si>
  <si>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</si>
  <si>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</si>
  <si>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</si>
  <si>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</si>
  <si>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</si>
  <si>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</si>
  <si>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</si>
  <si>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</si>
  <si>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</si>
  <si>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</si>
  <si>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</si>
  <si>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</si>
  <si>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</si>
  <si>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</si>
  <si>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</si>
  <si>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</si>
  <si>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</si>
  <si>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</si>
  <si>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</si>
  <si>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</si>
  <si>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</si>
  <si>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</si>
  <si>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</si>
  <si>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</si>
  <si>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</si>
  <si>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</si>
  <si>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</si>
  <si>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</si>
  <si>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</si>
  <si>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</si>
  <si>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</si>
  <si>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</si>
  <si>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</si>
  <si>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</si>
  <si>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</si>
  <si>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</si>
  <si>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</si>
  <si>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</si>
  <si>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</si>
  <si>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</si>
  <si>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</si>
  <si>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</si>
  <si>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</si>
  <si>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</si>
  <si>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</si>
  <si>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</si>
  <si>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</si>
  <si>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</si>
  <si>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</si>
  <si>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</si>
  <si>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</si>
  <si>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</si>
  <si>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</si>
  <si>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</si>
  <si>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</si>
  <si>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</si>
  <si>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</si>
  <si>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</si>
  <si>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</si>
  <si>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</si>
  <si>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</si>
  <si>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</si>
  <si>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</si>
  <si>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</si>
  <si>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</si>
  <si>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</si>
  <si>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</si>
  <si>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</si>
  <si>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</si>
  <si>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</si>
  <si>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</si>
  <si>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</si>
  <si>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</si>
  <si>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</si>
  <si>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</si>
  <si>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</si>
  <si>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</si>
  <si>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</si>
  <si>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</si>
  <si>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</si>
  <si>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</si>
  <si>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</si>
  <si>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</si>
  <si>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</si>
  <si>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</si>
  <si>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</si>
  <si>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</si>
  <si>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</si>
  <si>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</si>
  <si>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</si>
  <si>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</si>
  <si>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</si>
  <si>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</si>
  <si>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</si>
  <si>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</si>
  <si>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</si>
  <si>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</si>
  <si>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</si>
  <si>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</si>
  <si>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</si>
  <si>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</si>
  <si>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</si>
  <si>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</si>
  <si>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</si>
  <si>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</si>
  <si>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</si>
  <si>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</si>
  <si>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</si>
  <si>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</si>
  <si>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</si>
  <si>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</si>
  <si>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</si>
  <si>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</si>
  <si>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</si>
  <si>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</si>
  <si>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</si>
  <si>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</si>
  <si>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</si>
  <si>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</si>
  <si>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</si>
  <si>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</si>
  <si>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</si>
  <si>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</si>
  <si>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</si>
  <si>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</si>
  <si>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</si>
  <si>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</si>
  <si>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</si>
  <si>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</si>
  <si>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</si>
  <si>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</si>
  <si>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</si>
  <si>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</si>
  <si>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</si>
  <si>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</si>
  <si>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</si>
  <si>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</si>
  <si>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</si>
  <si>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</si>
  <si>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</si>
  <si>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</si>
  <si>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</si>
  <si>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</si>
  <si>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</si>
  <si>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</si>
  <si>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</si>
  <si>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</si>
  <si>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</si>
  <si>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</si>
  <si>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</si>
  <si>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</si>
  <si>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</si>
  <si>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</si>
  <si>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</si>
  <si>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</si>
  <si>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</si>
  <si>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</si>
  <si>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</si>
  <si>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</si>
  <si>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</si>
  <si>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</si>
  <si>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</si>
  <si>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</si>
  <si>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</si>
  <si>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</si>
  <si>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</si>
  <si>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</si>
  <si>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</si>
  <si>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</si>
  <si>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</si>
  <si>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</si>
  <si>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</si>
  <si>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</si>
  <si>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</si>
  <si>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</si>
  <si>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</si>
  <si>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</si>
  <si>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</si>
  <si>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</si>
  <si>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</si>
  <si>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</si>
  <si>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</si>
  <si>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</si>
  <si>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</si>
  <si>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</si>
  <si>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</si>
  <si>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</si>
  <si>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</si>
  <si>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</si>
  <si>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</si>
  <si>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</si>
  <si>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</si>
  <si>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</si>
  <si>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</si>
  <si>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</si>
  <si>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</si>
  <si>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</si>
  <si>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</si>
  <si>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</si>
  <si>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</si>
  <si>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</si>
  <si>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</si>
  <si>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</si>
  <si>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</si>
  <si>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</si>
  <si>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</si>
  <si>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</si>
  <si>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</si>
  <si>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</si>
  <si>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</si>
  <si>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</si>
  <si>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</si>
  <si>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</si>
  <si>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</si>
  <si>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</si>
  <si>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</si>
  <si>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</si>
  <si>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</si>
  <si>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</si>
  <si>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</si>
  <si>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</si>
  <si>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</si>
  <si>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</si>
  <si>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</si>
  <si>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</si>
  <si>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</si>
  <si>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</si>
  <si>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</si>
  <si>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</si>
  <si>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</si>
  <si>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</si>
  <si>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</si>
  <si>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</si>
  <si>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</si>
  <si>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</si>
  <si>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</si>
  <si>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</si>
  <si>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</si>
  <si>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</si>
  <si>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</si>
  <si>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</si>
  <si>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</si>
  <si>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</si>
  <si>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</si>
  <si>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</si>
  <si>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</si>
  <si>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</si>
  <si>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</si>
  <si>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</si>
  <si>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</si>
  <si>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</si>
  <si>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</si>
  <si>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</si>
  <si>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</si>
  <si>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</si>
  <si>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</si>
  <si>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</si>
  <si>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</si>
  <si>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</si>
  <si>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</si>
  <si>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</si>
  <si>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</si>
  <si>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</si>
  <si>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</si>
  <si>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</si>
  <si>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</si>
  <si>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</si>
  <si>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</si>
  <si>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</si>
  <si>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</si>
  <si>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</si>
  <si>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</si>
  <si>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</si>
  <si>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</si>
  <si>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</si>
  <si>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</si>
  <si>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</si>
  <si>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</si>
  <si>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</si>
  <si>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</si>
  <si>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</si>
  <si>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</si>
  <si>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</si>
  <si>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</si>
  <si>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</si>
  <si>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</si>
  <si>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</si>
  <si>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</si>
  <si>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</si>
  <si>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</si>
  <si>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</si>
  <si>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</si>
  <si>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</si>
  <si>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</si>
  <si>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</si>
  <si>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</si>
  <si>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</si>
  <si>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</si>
  <si>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</si>
  <si>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</si>
  <si>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</si>
  <si>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</si>
  <si>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</si>
  <si>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</si>
  <si>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</si>
  <si>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</si>
  <si>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</si>
  <si>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</si>
  <si>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</si>
  <si>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</si>
  <si>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</si>
  <si>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</si>
  <si>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</si>
  <si>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</si>
  <si>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</si>
  <si>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</si>
  <si>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</si>
  <si>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</si>
  <si>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</si>
  <si>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</si>
  <si>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</si>
  <si>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</si>
  <si>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</si>
  <si>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</si>
  <si>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</si>
  <si>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</si>
  <si>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</si>
  <si>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</si>
  <si>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</si>
  <si>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</si>
  <si>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</si>
  <si>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</si>
  <si>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</si>
  <si>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</si>
  <si>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</si>
  <si>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</si>
  <si>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</si>
  <si>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</si>
  <si>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</si>
  <si>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</si>
  <si>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</si>
  <si>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</si>
  <si>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</si>
  <si>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</si>
  <si>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</si>
  <si>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</si>
  <si>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</si>
  <si>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</si>
  <si>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</si>
  <si>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</si>
  <si>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</si>
  <si>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</si>
  <si>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</si>
  <si>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</si>
  <si>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</si>
  <si>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</si>
  <si>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</si>
  <si>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</si>
  <si>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</si>
  <si>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</si>
  <si>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</si>
  <si>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</si>
  <si>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</si>
  <si>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</si>
  <si>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</si>
  <si>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</si>
  <si>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</si>
  <si>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</si>
  <si>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</si>
  <si>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</si>
  <si>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</si>
  <si>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</si>
  <si>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</si>
  <si>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</si>
  <si>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</si>
  <si>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</si>
  <si>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</si>
  <si>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</si>
  <si>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</si>
  <si>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</si>
  <si>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</si>
  <si>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</si>
  <si>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</si>
  <si>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</si>
  <si>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</si>
  <si>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</si>
  <si>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</si>
  <si>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</si>
  <si>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</si>
  <si>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</si>
  <si>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</si>
  <si>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</si>
  <si>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</si>
  <si>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</si>
  <si>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</si>
  <si>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</si>
  <si>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</si>
  <si>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</si>
  <si>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</si>
  <si>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</si>
  <si>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</si>
  <si>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</si>
  <si>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</si>
  <si>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</si>
  <si>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</si>
  <si>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</si>
  <si>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</si>
  <si>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</si>
  <si>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</si>
  <si>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</si>
  <si>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</si>
  <si>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</si>
  <si>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</si>
  <si>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</si>
  <si>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</si>
  <si>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</si>
  <si>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</si>
  <si>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</si>
  <si>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</si>
  <si>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</si>
  <si>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</si>
  <si>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</si>
  <si>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</si>
  <si>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</si>
  <si>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</si>
  <si>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</si>
  <si>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</si>
  <si>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</si>
  <si>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</si>
  <si>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</si>
  <si>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</si>
  <si>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</si>
  <si>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</si>
  <si>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</si>
  <si>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</si>
  <si>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</si>
  <si>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</si>
  <si>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</si>
  <si>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</si>
  <si>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</si>
  <si>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</si>
  <si>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</si>
  <si>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</si>
  <si>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</si>
  <si>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</si>
  <si>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</si>
  <si>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</si>
  <si>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</si>
  <si>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</si>
  <si>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</si>
  <si>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</si>
  <si>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</si>
  <si>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</si>
  <si>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</si>
  <si>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</si>
  <si>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</si>
  <si>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</si>
  <si>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</si>
  <si>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</si>
  <si>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</si>
  <si>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</si>
  <si>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</si>
  <si>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</si>
  <si>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</si>
  <si>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</si>
  <si>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</si>
  <si>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</si>
  <si>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</si>
  <si>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</si>
  <si>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</si>
  <si>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</si>
  <si>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</si>
  <si>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</si>
  <si>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</si>
  <si>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</si>
  <si>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</si>
  <si>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</si>
  <si>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</si>
  <si>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</si>
  <si>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</si>
  <si>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</si>
  <si>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</si>
  <si>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</si>
  <si>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</si>
  <si>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</si>
  <si>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</si>
  <si>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</si>
  <si>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</si>
  <si>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</si>
  <si>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</si>
  <si>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</si>
  <si>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</si>
  <si>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</si>
  <si>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</si>
  <si>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</si>
  <si>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</si>
  <si>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</si>
  <si>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</si>
  <si>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</si>
  <si>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</si>
  <si>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</si>
  <si>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</si>
  <si>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</si>
  <si>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</si>
  <si>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</si>
  <si>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</si>
  <si>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</si>
  <si>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</si>
  <si>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</si>
  <si>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</si>
  <si>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</si>
  <si>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</si>
  <si>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</si>
  <si>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</si>
  <si>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</si>
  <si>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</si>
  <si>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</si>
  <si>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</si>
  <si>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</si>
  <si>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</si>
  <si>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</si>
  <si>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</si>
  <si>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</si>
  <si>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</si>
  <si>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</si>
  <si>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</si>
  <si>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</si>
  <si>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</si>
  <si>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</si>
  <si>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</si>
  <si>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</si>
  <si>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</si>
  <si>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</si>
  <si>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</si>
  <si>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</si>
  <si>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</si>
  <si>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</si>
  <si>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</si>
  <si>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</si>
  <si>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</si>
  <si>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</si>
  <si>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</si>
  <si>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</si>
  <si>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</si>
  <si>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</si>
  <si>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</si>
  <si>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</si>
  <si>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</si>
  <si>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</si>
  <si>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</si>
  <si>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</si>
  <si>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</si>
  <si>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</si>
  <si>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</si>
  <si>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</si>
  <si>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</si>
  <si>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</si>
  <si>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</si>
  <si>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</si>
  <si>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</si>
  <si>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</si>
  <si>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</si>
  <si>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</si>
  <si>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</si>
  <si>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</si>
  <si>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</si>
  <si>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</si>
  <si>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</si>
  <si>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</si>
  <si>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</si>
  <si>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</si>
  <si>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</si>
  <si>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</si>
  <si>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</si>
  <si>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</si>
  <si>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</si>
  <si>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</si>
  <si>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</si>
  <si>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</si>
  <si>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</si>
  <si>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</si>
  <si>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</si>
  <si>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</si>
  <si>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</si>
  <si>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</si>
  <si>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</si>
  <si>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</si>
  <si>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</si>
  <si>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</si>
  <si>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</si>
  <si>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</si>
  <si>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</si>
  <si>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</si>
  <si>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</si>
  <si>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</si>
  <si>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</si>
  <si>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</si>
  <si>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</si>
  <si>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</si>
  <si>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</si>
  <si>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</si>
  <si>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</si>
  <si>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</si>
  <si>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</si>
  <si>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</si>
  <si>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</si>
  <si>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</si>
  <si>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</si>
  <si>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</si>
  <si>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</si>
  <si>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</si>
  <si>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</si>
  <si>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</si>
  <si>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</si>
  <si>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</si>
  <si>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</si>
  <si>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</si>
  <si>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</si>
  <si>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</si>
  <si>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</si>
  <si>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</si>
  <si>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</si>
  <si>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</si>
  <si>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</si>
  <si>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</si>
  <si>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</si>
  <si>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</si>
  <si>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</si>
  <si>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</si>
  <si>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</si>
  <si>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</si>
  <si>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</si>
  <si>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</si>
  <si>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</si>
  <si>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</si>
  <si>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</si>
  <si>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</si>
  <si>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</si>
  <si>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</si>
  <si>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</si>
  <si>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</si>
  <si>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</si>
  <si>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</si>
  <si>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</si>
  <si>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</si>
  <si>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</si>
  <si>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</si>
  <si>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</si>
  <si>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</si>
  <si>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</si>
  <si>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</si>
  <si>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</si>
  <si>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</si>
  <si>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</si>
  <si>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</si>
  <si>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</si>
  <si>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</si>
  <si>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</si>
  <si>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</si>
  <si>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</si>
  <si>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</si>
  <si>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</si>
  <si>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</si>
  <si>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</si>
  <si>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</si>
  <si>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</si>
  <si>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</si>
  <si>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</si>
  <si>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</si>
  <si>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</si>
  <si>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</si>
  <si>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</si>
  <si>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</si>
  <si>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</si>
  <si>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</si>
  <si>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</si>
  <si>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</si>
  <si>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</si>
  <si>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</si>
  <si>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</si>
  <si>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</si>
  <si>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</si>
  <si>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</si>
  <si>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</si>
  <si>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</si>
  <si>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</si>
  <si>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</si>
  <si>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</si>
  <si>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</si>
  <si>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</si>
  <si>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</si>
  <si>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</si>
  <si>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</si>
  <si>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</si>
  <si>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</si>
  <si>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</si>
  <si>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</si>
  <si>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</si>
  <si>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</si>
  <si>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</si>
  <si>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</si>
  <si>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</si>
  <si>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</si>
  <si>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</si>
  <si>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</si>
  <si>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</si>
  <si>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</si>
  <si>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</si>
  <si>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</si>
  <si>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</si>
  <si>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</si>
  <si>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</si>
  <si>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</si>
  <si>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</si>
  <si>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</si>
  <si>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</si>
  <si>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</si>
  <si>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</si>
  <si>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</si>
  <si>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</si>
  <si>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</si>
  <si>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</si>
  <si>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</si>
  <si>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</si>
  <si>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</si>
  <si>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</si>
  <si>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</si>
  <si>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</si>
  <si>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</si>
  <si>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</si>
  <si>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</si>
  <si>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</si>
  <si>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</si>
  <si>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</si>
  <si>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</si>
  <si>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</si>
  <si>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</si>
  <si>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</si>
  <si>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</si>
  <si>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</si>
  <si>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</si>
  <si>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</si>
  <si>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</si>
  <si>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</si>
  <si>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</si>
  <si>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</si>
  <si>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</si>
  <si>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</si>
  <si>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</si>
  <si>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</si>
  <si>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</si>
  <si>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</si>
  <si>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</si>
  <si>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</si>
  <si>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</si>
  <si>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</si>
  <si>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</si>
  <si>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</si>
  <si>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</si>
  <si>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</si>
  <si>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</si>
  <si>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</si>
  <si>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</si>
  <si>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</si>
  <si>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</si>
  <si>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</si>
  <si>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</si>
  <si>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</si>
  <si>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</si>
  <si>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</si>
  <si>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</si>
  <si>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</si>
  <si>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</si>
  <si>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</si>
  <si>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</si>
  <si>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</si>
  <si>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</si>
  <si>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</si>
  <si>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</si>
  <si>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</si>
  <si>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</si>
  <si>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</si>
  <si>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</si>
  <si>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</si>
  <si>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</si>
  <si>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</si>
  <si>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</si>
  <si>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</si>
  <si>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</si>
  <si>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</si>
  <si>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</si>
  <si>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</si>
  <si>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</si>
  <si>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</si>
  <si>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</si>
  <si>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</si>
  <si>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</si>
  <si>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</si>
  <si>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</si>
  <si>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</si>
  <si>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</si>
  <si>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</si>
  <si>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</si>
  <si>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</si>
  <si>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</si>
  <si>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</si>
  <si>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</si>
  <si>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</si>
  <si>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</si>
  <si>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</si>
  <si>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</si>
  <si>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</si>
  <si>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</si>
  <si>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</si>
  <si>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</si>
  <si>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</si>
  <si>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</si>
  <si>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</si>
  <si>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</si>
  <si>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</si>
  <si>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</si>
  <si>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</si>
  <si>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</si>
  <si>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</si>
  <si>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</si>
  <si>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</si>
  <si>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</si>
  <si>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</si>
  <si>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</si>
  <si>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</si>
  <si>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</si>
  <si>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</si>
  <si>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</si>
  <si>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</si>
  <si>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</si>
  <si>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</si>
  <si>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</si>
  <si>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</si>
  <si>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</si>
  <si>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</si>
  <si>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Total Customers</t>
  </si>
  <si>
    <t>Churned Customers</t>
  </si>
  <si>
    <t>Active Customers</t>
  </si>
  <si>
    <t>Churn Rate</t>
  </si>
  <si>
    <t>Avg Tenure (Churned)</t>
  </si>
  <si>
    <t>Row Labels</t>
  </si>
  <si>
    <t>Grand Total</t>
  </si>
  <si>
    <t>Count of customerID</t>
  </si>
  <si>
    <t>Average Monthly Charges</t>
  </si>
  <si>
    <t>Average Tenure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</si>
</sst>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0" fontId="0" fillId="0" borderId="0" xfId="42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8" formatCode="0.0"/>
    </dxf>
    <dxf>
      <numFmt numFmtId="168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2</xdr:row>
      <xdr:rowOff>76199</xdr:rowOff>
    </xdr:from>
    <xdr:ext cx="4495800" cy="84382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5C018E-38E9-4C88-B0A7-F865748666E8}"/>
            </a:ext>
          </a:extLst>
        </xdr:cNvPr>
        <xdr:cNvSpPr txBox="1"/>
      </xdr:nvSpPr>
      <xdr:spPr>
        <a:xfrm>
          <a:off x="2828925" y="457199"/>
          <a:ext cx="4495800" cy="843821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200" b="1"/>
            <a:t>Insight:</a:t>
          </a:r>
          <a:r>
            <a:rPr lang="en-GB" sz="1200"/>
            <a:t> Customers on month-to-month contracts account for the majority of churned customers, while one-year and two-year contracts show significantly lower churn. This suggests longer contract commitments strongly improve customer retention.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2</xdr:row>
      <xdr:rowOff>66675</xdr:rowOff>
    </xdr:from>
    <xdr:ext cx="4495800" cy="6559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F893A5-6C3F-40E4-9B49-14D882AD4A19}"/>
            </a:ext>
          </a:extLst>
        </xdr:cNvPr>
        <xdr:cNvSpPr txBox="1"/>
      </xdr:nvSpPr>
      <xdr:spPr>
        <a:xfrm>
          <a:off x="3105150" y="447675"/>
          <a:ext cx="4495800" cy="65594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200" b="1"/>
            <a:t>Insight:</a:t>
          </a:r>
          <a:r>
            <a:rPr lang="en-GB" sz="1200"/>
            <a:t> Churned customers have a higher average monthly charge compared to active customers, indicating that pricing pressure may be a key driver of customer churn.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2</xdr:row>
      <xdr:rowOff>38100</xdr:rowOff>
    </xdr:from>
    <xdr:ext cx="4495800" cy="65594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547475-D1B9-44A0-A281-0A4F71C6B3A1}"/>
            </a:ext>
          </a:extLst>
        </xdr:cNvPr>
        <xdr:cNvSpPr txBox="1"/>
      </xdr:nvSpPr>
      <xdr:spPr>
        <a:xfrm>
          <a:off x="3133725" y="419100"/>
          <a:ext cx="4495800" cy="65594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200" b="1"/>
            <a:t>Insight:</a:t>
          </a:r>
          <a:r>
            <a:rPr lang="en-GB" sz="1200"/>
            <a:t> Churned customers have significantly lower average tenure than active customers, indicating that churn is concentrated among newer customers.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Igwebuike" refreshedDate="46050.481156828704" createdVersion="7" refreshedVersion="7" minRefreshableVersion="3" recordCount="7043" xr:uid="{8F3180D8-8559-4A10-8E3C-68E07C13B8CE}">
  <cacheSource type="worksheet">
    <worksheetSource name="Table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n v="49.55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n v="48.6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n v="44.6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n v="70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n v="44.3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n v="65.8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n v="49.8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n v="56.15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n v="43.45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n v="55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7FC55-AC35-4669-8981-F992E6E087B3}" name="Pivot_Churn_Contract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ontract">
  <location ref="A3:B7" firstHeaderRow="1" firstDataRow="1" firstDataCol="1" rowPageCount="1" colPageCount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0" item="1" hier="-1"/>
  </pageFields>
  <dataFields count="1">
    <dataField name="Count of customerID" fld="0" subtotal="count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84E3D-1618-4AD1-9ACD-F6F543A74A21}" name="Pivot_Churn_MonthlyCharges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Churn">
  <location ref="A3:B6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Monthly Charges" fld="18" subtotal="average" baseField="2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F5CCB-12A0-4C92-990C-510FBC18E715}" name="Pivot_Churn_Tenure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6" firstHeaderRow="1" firstDataRow="1" firstDataCol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Tenure (Months)" fld="5" subtotal="average" baseField="20" baseItem="0"/>
  </dataFields>
  <formats count="2">
    <format dxfId="1">
      <pivotArea collapsedLevelsAreSubtotals="1" fieldPosition="0">
        <references count="1">
          <reference field="20" count="0"/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B20C89-327E-4AA8-9D18-58107296BDB8}" name="Table1" displayName="Table1" ref="A1:U7044" totalsRowShown="0">
  <autoFilter ref="A1:U7044" xr:uid="{8EB20C89-327E-4AA8-9D18-58107296BDB8}"/>
  <tableColumns count="21">
    <tableColumn id="1" xr3:uid="{887EF018-1E3E-4588-B304-6306B7BCF031}" name="customerID"/>
    <tableColumn id="2" xr3:uid="{5E1DF8A5-DB11-4997-94DE-91D865C7C4B8}" name="gender"/>
    <tableColumn id="3" xr3:uid="{701094FC-37C9-4CB1-8D4F-C64DE6CD73C2}" name="SeniorCitizen"/>
    <tableColumn id="4" xr3:uid="{8D1A79CC-D916-4ECC-98A9-C3FDAF8F9F7E}" name="Partner"/>
    <tableColumn id="5" xr3:uid="{B0DDC441-37BD-455F-B1F9-503D6E9FF1FD}" name="Dependents"/>
    <tableColumn id="6" xr3:uid="{7E86253B-E3BA-43FB-87B5-19C1A951DBAC}" name="tenure"/>
    <tableColumn id="7" xr3:uid="{470F7AAE-9E67-4076-B7C3-2623B78E7660}" name="PhoneService"/>
    <tableColumn id="8" xr3:uid="{21DFC037-2B86-4C38-A9D8-710B83A552B7}" name="MultipleLines"/>
    <tableColumn id="9" xr3:uid="{78A9D337-923E-4A0E-8783-164FBF3DC855}" name="InternetService"/>
    <tableColumn id="10" xr3:uid="{004267F9-E77A-4B1E-9314-46CDB76AF8C3}" name="OnlineSecurity"/>
    <tableColumn id="11" xr3:uid="{F8C278B6-34CD-4456-9479-45EC8F8F8636}" name="OnlineBackup"/>
    <tableColumn id="12" xr3:uid="{2F5E616A-2B5C-4AB2-AB61-1259A6D4BDF9}" name="DeviceProtection"/>
    <tableColumn id="13" xr3:uid="{1594FAD0-A060-4CFD-BF9B-57E34A7FD04D}" name="TechSupport"/>
    <tableColumn id="14" xr3:uid="{DAD78B42-8709-4AC8-97BD-D732EF5C5E1E}" name="StreamingTV"/>
    <tableColumn id="15" xr3:uid="{4242E94C-B7BA-48D2-90BC-483F78317678}" name="StreamingMovies"/>
    <tableColumn id="16" xr3:uid="{0A269B96-F472-48E1-84A0-3E27FBDB6C59}" name="Contract"/>
    <tableColumn id="17" xr3:uid="{22AC924B-BAE1-4E87-ADDB-52C5B27D11DA}" name="PaperlessBilling"/>
    <tableColumn id="18" xr3:uid="{692A11F6-7F43-438D-8BBB-26A1F22CD50B}" name="PaymentMethod"/>
    <tableColumn id="19" xr3:uid="{39F1B18D-CD56-45D3-9E22-5A8A90431EA1}" name="MonthlyCharges"/>
    <tableColumn id="20" xr3:uid="{B9BF3154-12BE-44F4-85F8-4A65198FB8E4}" name="TotalCharges"/>
    <tableColumn id="21" xr3:uid="{AF34D07D-F136-4C82-A380-87649B995A90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abSelected="1" workbookViewId="0">
      <selection activeCell="A2" sqref="A2"/>
    </sheetView>
  </sheetViews>
  <sheetFormatPr defaultRowHeight="15" x14ac:dyDescent="0.25"/>
  <cols>
    <col min="1" max="1" width="13.28515625" customWidth="1"/>
    <col min="2" max="2" width="9.42578125" customWidth="1"/>
    <col min="3" max="3" width="15" customWidth="1"/>
    <col min="4" max="4" width="9.7109375" customWidth="1"/>
    <col min="5" max="5" width="14" customWidth="1"/>
    <col min="7" max="7" width="15.28515625" customWidth="1"/>
    <col min="8" max="8" width="15.42578125" customWidth="1"/>
    <col min="9" max="9" width="16.85546875" customWidth="1"/>
    <col min="10" max="10" width="16.28515625" customWidth="1"/>
    <col min="11" max="11" width="15.42578125" customWidth="1"/>
    <col min="12" max="12" width="18.42578125" customWidth="1"/>
    <col min="13" max="13" width="14.28515625" customWidth="1"/>
    <col min="14" max="14" width="14.42578125" customWidth="1"/>
    <col min="15" max="15" width="18.7109375" customWidth="1"/>
    <col min="16" max="16" width="10.5703125" customWidth="1"/>
    <col min="17" max="17" width="17.28515625" customWidth="1"/>
    <col min="18" max="18" width="18.140625" customWidth="1"/>
    <col min="19" max="19" width="17.7109375" customWidth="1"/>
    <col min="20" max="20" width="14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D202-8BCB-49DB-B987-4B09C6B7BF37}">
  <dimension ref="A1:B5"/>
  <sheetViews>
    <sheetView workbookViewId="0">
      <selection activeCell="B9" sqref="B9"/>
    </sheetView>
  </sheetViews>
  <sheetFormatPr defaultRowHeight="15" x14ac:dyDescent="0.25"/>
  <cols>
    <col min="1" max="1" width="20.7109375" bestFit="1" customWidth="1"/>
  </cols>
  <sheetData>
    <row r="1" spans="1:2" x14ac:dyDescent="0.25">
      <c r="A1" t="s">
        <v>7080</v>
      </c>
      <c r="B1">
        <f>COUNTA('Telco-Customer-Churn'!A:A)</f>
        <v>7044</v>
      </c>
    </row>
    <row r="2" spans="1:2" x14ac:dyDescent="0.25">
      <c r="A2" t="s">
        <v>7081</v>
      </c>
      <c r="B2">
        <f>COUNTIF('Telco-Customer-Churn'!U:U,"Yes")</f>
        <v>1869</v>
      </c>
    </row>
    <row r="3" spans="1:2" x14ac:dyDescent="0.25">
      <c r="A3" t="s">
        <v>7082</v>
      </c>
      <c r="B3">
        <f>COUNTIF('Telco-Customer-Churn'!U:U,"No")</f>
        <v>5174</v>
      </c>
    </row>
    <row r="4" spans="1:2" x14ac:dyDescent="0.25">
      <c r="A4" t="s">
        <v>7083</v>
      </c>
      <c r="B4" s="1">
        <f>B2/B1</f>
        <v>0.26533219761499149</v>
      </c>
    </row>
    <row r="5" spans="1:2" x14ac:dyDescent="0.25">
      <c r="A5" t="s">
        <v>7084</v>
      </c>
      <c r="B5" s="2">
        <f>AVERAGEIF('Telco-Customer-Churn'!U:U,"Yes",'Telco-Customer-Churn'!F:F)</f>
        <v>17.979133226324237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73C39-AC6C-49E0-971F-8DD14D4375AF}">
  <dimension ref="A1:B7"/>
  <sheetViews>
    <sheetView workbookViewId="0">
      <selection activeCell="L11" sqref="L11"/>
    </sheetView>
  </sheetViews>
  <sheetFormatPr defaultRowHeight="15" x14ac:dyDescent="0.25"/>
  <cols>
    <col min="1" max="1" width="16.140625" bestFit="1" customWidth="1"/>
    <col min="2" max="2" width="19.42578125" bestFit="1" customWidth="1"/>
  </cols>
  <sheetData>
    <row r="1" spans="1:2" x14ac:dyDescent="0.25">
      <c r="A1" s="3" t="s">
        <v>20</v>
      </c>
      <c r="B1" t="s">
        <v>23</v>
      </c>
    </row>
    <row r="3" spans="1:2" x14ac:dyDescent="0.25">
      <c r="A3" s="3" t="s">
        <v>15</v>
      </c>
      <c r="B3" t="s">
        <v>7087</v>
      </c>
    </row>
    <row r="4" spans="1:2" x14ac:dyDescent="0.25">
      <c r="A4" s="4" t="s">
        <v>27</v>
      </c>
      <c r="B4" s="5">
        <v>1655</v>
      </c>
    </row>
    <row r="5" spans="1:2" x14ac:dyDescent="0.25">
      <c r="A5" s="4" t="s">
        <v>31</v>
      </c>
      <c r="B5" s="5">
        <v>166</v>
      </c>
    </row>
    <row r="6" spans="1:2" x14ac:dyDescent="0.25">
      <c r="A6" s="4" t="s">
        <v>47</v>
      </c>
      <c r="B6" s="5">
        <v>48</v>
      </c>
    </row>
    <row r="7" spans="1:2" x14ac:dyDescent="0.25">
      <c r="A7" s="4" t="s">
        <v>7086</v>
      </c>
      <c r="B7" s="5">
        <v>1869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269F6-A40C-4FB2-8FC8-193ED5569681}">
  <dimension ref="A3:B6"/>
  <sheetViews>
    <sheetView workbookViewId="0">
      <selection activeCell="H8" sqref="H8"/>
    </sheetView>
  </sheetViews>
  <sheetFormatPr defaultRowHeight="15" x14ac:dyDescent="0.25"/>
  <cols>
    <col min="1" max="1" width="11.28515625" bestFit="1" customWidth="1"/>
    <col min="2" max="2" width="24.140625" bestFit="1" customWidth="1"/>
  </cols>
  <sheetData>
    <row r="3" spans="1:2" x14ac:dyDescent="0.25">
      <c r="A3" s="3" t="s">
        <v>20</v>
      </c>
      <c r="B3" t="s">
        <v>7088</v>
      </c>
    </row>
    <row r="4" spans="1:2" x14ac:dyDescent="0.25">
      <c r="A4" s="4" t="s">
        <v>24</v>
      </c>
      <c r="B4" s="5">
        <v>61.2651236953999</v>
      </c>
    </row>
    <row r="5" spans="1:2" x14ac:dyDescent="0.25">
      <c r="A5" s="4" t="s">
        <v>23</v>
      </c>
      <c r="B5" s="5">
        <v>74.441332263242302</v>
      </c>
    </row>
    <row r="6" spans="1:2" x14ac:dyDescent="0.25">
      <c r="A6" s="4" t="s">
        <v>7086</v>
      </c>
      <c r="B6" s="5">
        <v>64.761692460599122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0590-6C3F-4322-80DB-7F8A8077E49F}">
  <dimension ref="A3:B6"/>
  <sheetViews>
    <sheetView workbookViewId="0">
      <selection activeCell="H8" sqref="H8"/>
    </sheetView>
  </sheetViews>
  <sheetFormatPr defaultRowHeight="15" x14ac:dyDescent="0.25"/>
  <cols>
    <col min="1" max="1" width="13.140625" bestFit="1" customWidth="1"/>
    <col min="2" max="2" width="24.140625" bestFit="1" customWidth="1"/>
  </cols>
  <sheetData>
    <row r="3" spans="1:2" x14ac:dyDescent="0.25">
      <c r="A3" s="3" t="s">
        <v>7085</v>
      </c>
      <c r="B3" t="s">
        <v>7089</v>
      </c>
    </row>
    <row r="4" spans="1:2" x14ac:dyDescent="0.25">
      <c r="A4" s="4" t="s">
        <v>24</v>
      </c>
      <c r="B4" s="6">
        <v>37.569965210668727</v>
      </c>
    </row>
    <row r="5" spans="1:2" x14ac:dyDescent="0.25">
      <c r="A5" s="4" t="s">
        <v>23</v>
      </c>
      <c r="B5" s="6">
        <v>17.979133226324237</v>
      </c>
    </row>
    <row r="6" spans="1:2" x14ac:dyDescent="0.25">
      <c r="A6" s="4" t="s">
        <v>7086</v>
      </c>
      <c r="B6" s="6">
        <v>32.371148658242227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Telco-Customer-Churn</vt:lpstr>
      <vt:lpstr>Churn_KPIs</vt:lpstr>
      <vt:lpstr>Pivot_Churn_Contract</vt:lpstr>
      <vt:lpstr>Pivot_Churn_MonthlyCharges</vt:lpstr>
      <vt:lpstr>Pivot_Churn_Tenure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Igwebuike</dc:creator>
  <cp:lastModifiedBy>henry Igwebuike</cp:lastModifiedBy>
  <dcterms:created xsi:type="dcterms:W3CDTF">2026-01-28T09:50:57Z</dcterms:created>
  <dcterms:modified xsi:type="dcterms:W3CDTF">2026-01-28T11:03:37Z</dcterms:modified>
</cp:coreProperties>
</file>